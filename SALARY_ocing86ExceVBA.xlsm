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eries\Desktop\"/>
    </mc:Choice>
  </mc:AlternateContent>
  <bookViews>
    <workbookView xWindow="0" yWindow="0" windowWidth="20400" windowHeight="9615"/>
  </bookViews>
  <sheets>
    <sheet name="INFO" sheetId="6" r:id="rId1"/>
    <sheet name="EMP" sheetId="1" r:id="rId2"/>
    <sheet name="TAX" sheetId="5" r:id="rId3"/>
    <sheet name="BANK" sheetId="9" r:id="rId4"/>
    <sheet name="VAR" sheetId="2" r:id="rId5"/>
    <sheet name="SLIP" sheetId="8" r:id="rId6"/>
    <sheet name="TAXSLIP" sheetId="10" r:id="rId7"/>
  </sheets>
  <functionGroups builtInGroupCount="18"/>
  <definedNames>
    <definedName name="empID">tbEMP[ID KARY.]</definedName>
    <definedName name="infoCompAddr">INFO!$C$5</definedName>
    <definedName name="infoCompanyName">INFO!$C$4</definedName>
    <definedName name="infoPeriod">INFO!$C$6</definedName>
    <definedName name="infoStaffName">INFO!$C$7</definedName>
    <definedName name="infoStaffPos">INFO!$C$8</definedName>
    <definedName name="Status">varPTKP[STATUS]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6" l="1"/>
  <c r="H15" i="10" l="1"/>
  <c r="B15" i="10"/>
  <c r="H22" i="10"/>
  <c r="H10" i="10"/>
  <c r="H9" i="10"/>
  <c r="H4" i="10"/>
  <c r="H2" i="10"/>
  <c r="B22" i="10"/>
  <c r="B10" i="10"/>
  <c r="B9" i="10"/>
  <c r="B4" i="10" l="1"/>
  <c r="B2" i="10"/>
  <c r="K38" i="8" l="1"/>
  <c r="E38" i="8"/>
  <c r="C6" i="10"/>
  <c r="E15" i="10" l="1"/>
  <c r="K16" i="1"/>
  <c r="L16" i="1"/>
  <c r="M16" i="1"/>
  <c r="N16" i="1"/>
  <c r="V16" i="1"/>
  <c r="AA16" i="1"/>
  <c r="AB16" i="1"/>
  <c r="AC16" i="1"/>
  <c r="AD16" i="1"/>
  <c r="AE16" i="1"/>
  <c r="AN16" i="1"/>
  <c r="AO16" i="1"/>
  <c r="J16" i="1"/>
  <c r="C16" i="1"/>
  <c r="B4" i="9"/>
  <c r="B2" i="9"/>
  <c r="B1" i="9"/>
  <c r="J38" i="8"/>
  <c r="I25" i="8"/>
  <c r="I24" i="8"/>
  <c r="I23" i="8"/>
  <c r="I22" i="8"/>
  <c r="I20" i="8"/>
  <c r="I12" i="8"/>
  <c r="I11" i="8"/>
  <c r="I10" i="8"/>
  <c r="I9" i="8"/>
  <c r="J8" i="8"/>
  <c r="H4" i="8"/>
  <c r="H2" i="8"/>
  <c r="D38" i="8"/>
  <c r="C25" i="8"/>
  <c r="C24" i="8"/>
  <c r="C23" i="8"/>
  <c r="C22" i="8"/>
  <c r="C20" i="8"/>
  <c r="C12" i="8"/>
  <c r="C11" i="8"/>
  <c r="C10" i="8"/>
  <c r="C9" i="8"/>
  <c r="D8" i="8"/>
  <c r="B4" i="8"/>
  <c r="B2" i="8"/>
  <c r="D13" i="8" l="1"/>
  <c r="E14" i="8" s="1"/>
  <c r="E26" i="8"/>
  <c r="K26" i="8"/>
  <c r="J13" i="8"/>
  <c r="K14" i="8" s="1"/>
  <c r="I6" i="10"/>
  <c r="B4" i="1"/>
  <c r="B2" i="1"/>
  <c r="B1" i="1"/>
  <c r="B4" i="5"/>
  <c r="B2" i="5"/>
  <c r="B1" i="5"/>
  <c r="K15" i="10" l="1"/>
  <c r="L13" i="5"/>
  <c r="I36" i="8"/>
  <c r="P16" i="1"/>
  <c r="C36" i="8"/>
  <c r="AM16" i="1"/>
  <c r="R16" i="1"/>
  <c r="T16" i="1"/>
  <c r="Z16" i="1"/>
  <c r="X16" i="1"/>
  <c r="S16" i="1"/>
  <c r="Y16" i="1"/>
  <c r="U16" i="1"/>
  <c r="W16" i="1"/>
  <c r="Q16" i="1"/>
  <c r="I16" i="8"/>
  <c r="I18" i="8"/>
  <c r="I17" i="8"/>
  <c r="I19" i="8"/>
  <c r="I15" i="8"/>
  <c r="C19" i="8"/>
  <c r="C18" i="8"/>
  <c r="C17" i="8"/>
  <c r="C16" i="8"/>
  <c r="C15" i="8"/>
  <c r="I11" i="10"/>
  <c r="C4" i="2"/>
  <c r="C5" i="2"/>
  <c r="C6" i="2"/>
  <c r="C7" i="2"/>
  <c r="C8" i="2"/>
  <c r="J8" i="10" l="1"/>
  <c r="F19" i="10"/>
  <c r="C11" i="10"/>
  <c r="D8" i="10"/>
  <c r="F13" i="5"/>
  <c r="I13" i="5"/>
  <c r="AL16" i="1"/>
  <c r="AH16" i="1"/>
  <c r="AI16" i="1"/>
  <c r="AF16" i="1"/>
  <c r="AJ16" i="1"/>
  <c r="AG16" i="1"/>
  <c r="AK16" i="1"/>
  <c r="C31" i="8"/>
  <c r="I31" i="8"/>
  <c r="C35" i="8"/>
  <c r="I35" i="8"/>
  <c r="C32" i="8"/>
  <c r="I32" i="8"/>
  <c r="K21" i="8"/>
  <c r="L28" i="8" s="1"/>
  <c r="C33" i="8"/>
  <c r="I33" i="8"/>
  <c r="C34" i="8"/>
  <c r="I34" i="8"/>
  <c r="E21" i="8"/>
  <c r="F28" i="8" s="1"/>
  <c r="I9" i="10" l="1"/>
  <c r="I10" i="10"/>
  <c r="C10" i="10"/>
  <c r="C9" i="10"/>
  <c r="H13" i="5"/>
  <c r="G13" i="5"/>
  <c r="I6" i="8"/>
  <c r="C6" i="8"/>
  <c r="D37" i="8"/>
  <c r="J37" i="8"/>
  <c r="J12" i="10" l="1"/>
  <c r="K13" i="10" s="1"/>
  <c r="K14" i="10" s="1"/>
  <c r="L16" i="10" s="1"/>
  <c r="L17" i="10" s="1"/>
  <c r="D12" i="10"/>
  <c r="E13" i="10" s="1"/>
  <c r="J13" i="5"/>
  <c r="L18" i="10"/>
  <c r="E14" i="10" l="1"/>
  <c r="F16" i="10" s="1"/>
  <c r="F17" i="10" s="1"/>
  <c r="K13" i="5"/>
  <c r="L19" i="10"/>
  <c r="L21" i="10" s="1"/>
  <c r="L22" i="10" s="1"/>
  <c r="F18" i="10"/>
  <c r="F21" i="10" l="1"/>
  <c r="F22" i="10" s="1"/>
  <c r="N13" i="5"/>
  <c r="M13" i="5"/>
  <c r="P13" i="5"/>
  <c r="O13" i="5" l="1"/>
  <c r="R13" i="5" l="1"/>
  <c r="Q13" i="5"/>
  <c r="D39" i="8" l="1"/>
  <c r="F40" i="8" s="1"/>
  <c r="F42" i="8" s="1"/>
  <c r="J39" i="8"/>
  <c r="L40" i="8" s="1"/>
  <c r="L42" i="8" s="1"/>
  <c r="AP16" i="1"/>
  <c r="G10" i="9"/>
  <c r="AQ16" i="1" l="1"/>
</calcChain>
</file>

<file path=xl/comments1.xml><?xml version="1.0" encoding="utf-8"?>
<comments xmlns="http://schemas.openxmlformats.org/spreadsheetml/2006/main">
  <authors>
    <author>Cheries</author>
  </authors>
  <commentList>
    <comment ref="N3" authorId="0" shapeId="0">
      <text>
        <r>
          <rPr>
            <b/>
            <sz val="9"/>
            <color indexed="81"/>
            <rFont val="Tahoma"/>
            <family val="2"/>
          </rPr>
          <t>Bottom Limit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Upper Limit</t>
        </r>
      </text>
    </comment>
  </commentList>
</comments>
</file>

<file path=xl/sharedStrings.xml><?xml version="1.0" encoding="utf-8"?>
<sst xmlns="http://schemas.openxmlformats.org/spreadsheetml/2006/main" count="255" uniqueCount="160">
  <si>
    <t>ID KARY.</t>
  </si>
  <si>
    <t>NAMA1</t>
  </si>
  <si>
    <t>NAMA2</t>
  </si>
  <si>
    <t>MARGA</t>
  </si>
  <si>
    <t>STATUS</t>
  </si>
  <si>
    <t>PTKP</t>
  </si>
  <si>
    <t>TK</t>
  </si>
  <si>
    <t>K</t>
  </si>
  <si>
    <t>K1</t>
  </si>
  <si>
    <t>K2</t>
  </si>
  <si>
    <t>K3</t>
  </si>
  <si>
    <t>NPWP</t>
  </si>
  <si>
    <t>BASE SALARY</t>
  </si>
  <si>
    <t>TUNJANGAN</t>
  </si>
  <si>
    <t>JABATAN</t>
  </si>
  <si>
    <t>TRANSPORT</t>
  </si>
  <si>
    <t>KONSUMSI</t>
  </si>
  <si>
    <t>PULSA</t>
  </si>
  <si>
    <t>EMP01</t>
  </si>
  <si>
    <t>PENGHASILAN TIDAK RUTIN</t>
  </si>
  <si>
    <t>BONUS</t>
  </si>
  <si>
    <t>THR</t>
  </si>
  <si>
    <t>LEMBUR</t>
  </si>
  <si>
    <t>IURAN DI BAYAR PERUSAHAAN</t>
  </si>
  <si>
    <t>BPJS</t>
  </si>
  <si>
    <t>JKK</t>
  </si>
  <si>
    <t>GAJI POKOK + TUNJ.</t>
  </si>
  <si>
    <t>% JKK</t>
  </si>
  <si>
    <t>KELOMPOK</t>
  </si>
  <si>
    <t>JKM</t>
  </si>
  <si>
    <t>JAMINAN KEMATIAN</t>
  </si>
  <si>
    <t>JHT</t>
  </si>
  <si>
    <t>JP</t>
  </si>
  <si>
    <t>JAMINAN</t>
  </si>
  <si>
    <t>PEMBERI KERJA</t>
  </si>
  <si>
    <t>PEKERJA</t>
  </si>
  <si>
    <t>CODE</t>
  </si>
  <si>
    <t>JAMINAN HARI TUA</t>
  </si>
  <si>
    <t>IURAN PENSIUN</t>
  </si>
  <si>
    <t>JAMINAN KESEHATAN</t>
  </si>
  <si>
    <t>JAMINAN KECELAKAAN KERJA</t>
  </si>
  <si>
    <t>BL</t>
  </si>
  <si>
    <t>UL</t>
  </si>
  <si>
    <t>IURAN DI BAYAR KARYAWAN</t>
  </si>
  <si>
    <t xml:space="preserve">BPJS </t>
  </si>
  <si>
    <t xml:space="preserve">JKM </t>
  </si>
  <si>
    <t xml:space="preserve">JHT </t>
  </si>
  <si>
    <t xml:space="preserve">JP </t>
  </si>
  <si>
    <t>IURAN LAINNYA</t>
  </si>
  <si>
    <t xml:space="preserve">IURAN LAINNYA </t>
  </si>
  <si>
    <t>GAJI BRUTO</t>
  </si>
  <si>
    <t>NAMA</t>
  </si>
  <si>
    <t>BIAYA JABATAN</t>
  </si>
  <si>
    <t>TAX</t>
  </si>
  <si>
    <t>VAR</t>
  </si>
  <si>
    <t>VALUE</t>
  </si>
  <si>
    <t>BJ</t>
  </si>
  <si>
    <t>BIAYA PENSIUN</t>
  </si>
  <si>
    <t>BP</t>
  </si>
  <si>
    <t>TIDAK RUTIN LAINNYA</t>
  </si>
  <si>
    <t>IURAN DI BYR KARYAWAN</t>
  </si>
  <si>
    <t>MONTH</t>
  </si>
  <si>
    <t>YEAR</t>
  </si>
  <si>
    <t>Penalty NPWP</t>
  </si>
  <si>
    <t>PPH 21 SEBULAN</t>
  </si>
  <si>
    <t>POTONGAN ASURANSI</t>
  </si>
  <si>
    <t>POT. BPJS</t>
  </si>
  <si>
    <t>POT. JKK</t>
  </si>
  <si>
    <t>POT. JKM</t>
  </si>
  <si>
    <t>POT. JHT</t>
  </si>
  <si>
    <t>POT. JP</t>
  </si>
  <si>
    <t>POT. IURAN LAINNYA</t>
  </si>
  <si>
    <t>PPH 21</t>
  </si>
  <si>
    <t>TAKE HOME PAY</t>
  </si>
  <si>
    <t>Company Address</t>
  </si>
  <si>
    <t>Company Name</t>
  </si>
  <si>
    <t>Period</t>
  </si>
  <si>
    <t>PERHITUNGAN PPH 21</t>
  </si>
  <si>
    <t>EMPLOYEE'S SALARY</t>
  </si>
  <si>
    <t>BANK</t>
  </si>
  <si>
    <t>BANK NUMBER</t>
  </si>
  <si>
    <t>BNI</t>
  </si>
  <si>
    <t>EMP02</t>
  </si>
  <si>
    <t>GAJI POKOK &amp; TUNJANGAN</t>
  </si>
  <si>
    <t>TUNJANGAN BPJS KES, KK, JHT DLL</t>
  </si>
  <si>
    <t>JUMLAH POTONGAN ASURANSI</t>
  </si>
  <si>
    <t>POTONGAN PPH 21</t>
  </si>
  <si>
    <t>JUMLAH POTONGAN</t>
  </si>
  <si>
    <t>JUMLAH GAJI SEBELUM POTONGAN</t>
  </si>
  <si>
    <t>Paycheck</t>
  </si>
  <si>
    <t>EMPLOYEE'S ID</t>
  </si>
  <si>
    <t>EMPLOYEE'S NAME</t>
  </si>
  <si>
    <t>JUMLAH TUNJANGAN</t>
  </si>
  <si>
    <t>POTONGAN LAIN</t>
  </si>
  <si>
    <t>REMARKS</t>
  </si>
  <si>
    <t>POT. LAINNYA</t>
  </si>
  <si>
    <t>POTONGAN LAINNYA</t>
  </si>
  <si>
    <t>Salary Data</t>
  </si>
  <si>
    <t>NO REKENING</t>
  </si>
  <si>
    <t>JUMLAH</t>
  </si>
  <si>
    <t>Total</t>
  </si>
  <si>
    <t>BERITA</t>
  </si>
  <si>
    <t>EMP03</t>
  </si>
  <si>
    <t>Ahmand</t>
  </si>
  <si>
    <t>PENGH. NETO SEBULAN</t>
  </si>
  <si>
    <t>PENGH. NETO SETAHUN</t>
  </si>
  <si>
    <t>PKP SETAHUN</t>
  </si>
  <si>
    <t>PEMBULATAN</t>
  </si>
  <si>
    <t>PPH 21 TERUTANG</t>
  </si>
  <si>
    <t>PPH 21 SBLM. PENALTY</t>
  </si>
  <si>
    <t>TUNJ. LAINNYA</t>
  </si>
  <si>
    <t>Berita</t>
  </si>
  <si>
    <t>Gaji Karyawan</t>
  </si>
  <si>
    <t>KELOMPOK - RESIKO USAHA</t>
  </si>
  <si>
    <t>JAMINAN - JAMINAN</t>
  </si>
  <si>
    <t>TaxSlip</t>
  </si>
  <si>
    <t>Potongan atas pinjaman di kantor (2 kali untuk bayar angsuran motor dan biaya anak sekolah) - NRPK - 2222</t>
  </si>
  <si>
    <t>TUNJ. JABATAN</t>
  </si>
  <si>
    <t>TUNJ. TRANSPORT</t>
  </si>
  <si>
    <t>TUNJ. KONSUMSI</t>
  </si>
  <si>
    <t>TUNJ. PULSA</t>
  </si>
  <si>
    <t>TUNJ. BPJS</t>
  </si>
  <si>
    <t>TUNJ. JKK</t>
  </si>
  <si>
    <t>TUNJ. JKM</t>
  </si>
  <si>
    <t>TUNJ. JHT</t>
  </si>
  <si>
    <t>TUNJ. JP</t>
  </si>
  <si>
    <t>TUNJ. IURAN LAINNYA</t>
  </si>
  <si>
    <t>Abdul</t>
  </si>
  <si>
    <t>Irawan</t>
  </si>
  <si>
    <t>Pratama</t>
  </si>
  <si>
    <t>Christo</t>
  </si>
  <si>
    <t>Joka</t>
  </si>
  <si>
    <t>Situmorang</t>
  </si>
  <si>
    <t>Boni</t>
  </si>
  <si>
    <t>BRI</t>
  </si>
  <si>
    <t>GAJI BRUTO 
(tax)</t>
  </si>
  <si>
    <t>mycompany address</t>
  </si>
  <si>
    <t>SimAcc2 - Employee Salary</t>
  </si>
  <si>
    <t>Staff Name</t>
  </si>
  <si>
    <t>Staff Position</t>
  </si>
  <si>
    <t>HR Manager</t>
  </si>
  <si>
    <t>Asuransi / Iuran di bayar karyawan</t>
  </si>
  <si>
    <t>PENGHASILAN NETTO SEBULAN</t>
  </si>
  <si>
    <t>PENGHASILAN NETTO SETAHUN</t>
  </si>
  <si>
    <t>PENGHASILAN KENA PAJAK (PKP) SETAHUN</t>
  </si>
  <si>
    <t>PENGHASILAN KENA PAJAK (PKP) SETAHUN (DIBULATKAN)</t>
  </si>
  <si>
    <t>PPH21 SEBELUM PENALTY NPWP</t>
  </si>
  <si>
    <t>PENALTY TIDAK PUNYA NPWP</t>
  </si>
  <si>
    <t>PPH21 PER TAHUN</t>
  </si>
  <si>
    <t>Abdul Kurniawan</t>
  </si>
  <si>
    <t>SimSal - Excel Based Salary App</t>
  </si>
  <si>
    <t>GAJI BRUTO (tax)</t>
  </si>
  <si>
    <t>Find us on Youtube</t>
  </si>
  <si>
    <t>https://www.youtube.com/channel/UCvyHSXjsk6adzAGblvaEbGw</t>
  </si>
  <si>
    <t>=$F$1&amp;" - "&amp;[@[ID KARY.]]&amp;" - "&amp;TEXT(infoPeriod,"MMM YYYY")</t>
  </si>
  <si>
    <t>=tbEMP[@NAMA1]&amp;" "&amp;IF(tbEMP[@NAMA2]&lt;&gt;"",LEFT(tbEMP[@NAMA2],1),"")&amp;". "&amp;tbEMP[@MARGA]</t>
  </si>
  <si>
    <t>=tbEMP[ID KARY.]</t>
  </si>
  <si>
    <t>=tbEMP[@BANK]</t>
  </si>
  <si>
    <t>=tbEMP[@[BANK NUMBER]]</t>
  </si>
  <si>
    <t>=tbEMP[@[TAKE HOME PAY]]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</si>
</sst>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d\ mmm\ yyyy"/>
    <numFmt numFmtId="166" formatCode="##&quot;.&quot;###&quot;.&quot;###&quot;.&quot;#&quot;-&quot;###&quot;.&quot;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8"/>
      <color theme="5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sz val="8"/>
      <color rgb="FFC00000"/>
      <name val="Comic Sans MS"/>
      <family val="4"/>
    </font>
    <font>
      <sz val="8"/>
      <color theme="1"/>
      <name val="Calibri"/>
      <family val="2"/>
      <scheme val="minor"/>
    </font>
    <font>
      <sz val="8"/>
      <color rgb="FFC00000"/>
      <name val="Calibri Light"/>
      <family val="2"/>
    </font>
    <font>
      <b/>
      <sz val="9"/>
      <color indexed="81"/>
      <name val="Tahoma"/>
      <family val="2"/>
    </font>
    <font>
      <sz val="8"/>
      <color theme="5" tint="-0.499984740745262"/>
      <name val="Comic Sans MS"/>
      <family val="4"/>
    </font>
    <font>
      <b/>
      <sz val="18"/>
      <color rgb="FFADD8ED"/>
      <name val="Calibri"/>
      <family val="2"/>
      <scheme val="minor"/>
    </font>
    <font>
      <sz val="11"/>
      <color rgb="FFADD8ED"/>
      <name val="Calibri"/>
      <family val="2"/>
      <scheme val="minor"/>
    </font>
    <font>
      <sz val="11"/>
      <color rgb="FF1B6E77"/>
      <name val="Calibri"/>
      <family val="2"/>
      <scheme val="minor"/>
    </font>
    <font>
      <b/>
      <sz val="11"/>
      <color rgb="FF1B6E77"/>
      <name val="Calibri"/>
      <family val="2"/>
      <scheme val="minor"/>
    </font>
    <font>
      <b/>
      <sz val="14"/>
      <color rgb="FFADD8ED"/>
      <name val="Calibri"/>
      <family val="2"/>
      <scheme val="minor"/>
    </font>
    <font>
      <b/>
      <sz val="11"/>
      <color rgb="FFADD8ED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B6E77"/>
        <bgColor indexed="64"/>
      </patternFill>
    </fill>
    <fill>
      <patternFill patternType="solid">
        <fgColor rgb="FFB7EAEF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2DB7C5"/>
      </bottom>
      <diagonal/>
    </border>
    <border>
      <left/>
      <right/>
      <top style="thin">
        <color rgb="FF2DB7C5"/>
      </top>
      <bottom style="thin">
        <color rgb="FF2DB7C5"/>
      </bottom>
      <diagonal/>
    </border>
    <border>
      <left/>
      <right/>
      <top style="thin">
        <color rgb="FF2DB7C5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</cellStyleXfs>
  <cellXfs count="111">
    <xf numFmtId="0" fontId="0" fillId="0" borderId="0" xfId="0"/>
    <xf numFmtId="164" fontId="0" fillId="0" borderId="0" xfId="1" applyNumberFormat="1" applyFont="1"/>
    <xf numFmtId="0" fontId="0" fillId="0" borderId="0" xfId="0" applyAlignment="1">
      <alignment vertical="center" wrapText="1"/>
    </xf>
    <xf numFmtId="164" fontId="0" fillId="0" borderId="0" xfId="1" applyNumberFormat="1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0" fontId="0" fillId="0" borderId="0" xfId="2" applyNumberFormat="1" applyFont="1"/>
    <xf numFmtId="9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2" applyNumberFormat="1" applyFont="1"/>
    <xf numFmtId="0" fontId="4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5" borderId="0" xfId="0" applyFill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0" borderId="0" xfId="0" applyFont="1" applyAlignment="1">
      <alignment horizontal="left" indent="1"/>
    </xf>
    <xf numFmtId="164" fontId="15" fillId="0" borderId="0" xfId="1" applyNumberFormat="1" applyFont="1"/>
    <xf numFmtId="164" fontId="13" fillId="0" borderId="0" xfId="0" applyNumberFormat="1" applyFont="1"/>
    <xf numFmtId="164" fontId="14" fillId="0" borderId="0" xfId="1" applyNumberFormat="1" applyFont="1"/>
    <xf numFmtId="0" fontId="7" fillId="0" borderId="0" xfId="0" applyFont="1"/>
    <xf numFmtId="0" fontId="16" fillId="0" borderId="0" xfId="0" applyFont="1"/>
    <xf numFmtId="0" fontId="17" fillId="0" borderId="0" xfId="0" applyFont="1" applyAlignment="1">
      <alignment horizontal="left" indent="1"/>
    </xf>
    <xf numFmtId="164" fontId="17" fillId="0" borderId="0" xfId="1" applyNumberFormat="1" applyFont="1"/>
    <xf numFmtId="0" fontId="13" fillId="0" borderId="1" xfId="0" applyFont="1" applyBorder="1"/>
    <xf numFmtId="164" fontId="13" fillId="0" borderId="1" xfId="1" applyNumberFormat="1" applyFont="1" applyBorder="1"/>
    <xf numFmtId="164" fontId="13" fillId="0" borderId="1" xfId="0" applyNumberFormat="1" applyFont="1" applyBorder="1"/>
    <xf numFmtId="0" fontId="14" fillId="0" borderId="1" xfId="0" applyFont="1" applyBorder="1"/>
    <xf numFmtId="0" fontId="5" fillId="11" borderId="2" xfId="0" applyFont="1" applyFill="1" applyBorder="1"/>
    <xf numFmtId="0" fontId="0" fillId="11" borderId="2" xfId="0" applyFill="1" applyBorder="1"/>
    <xf numFmtId="164" fontId="5" fillId="11" borderId="2" xfId="0" applyNumberFormat="1" applyFont="1" applyFill="1" applyBorder="1"/>
    <xf numFmtId="164" fontId="5" fillId="11" borderId="2" xfId="1" applyNumberFormat="1" applyFont="1" applyFill="1" applyBorder="1"/>
    <xf numFmtId="0" fontId="7" fillId="0" borderId="1" xfId="0" applyFont="1" applyBorder="1"/>
    <xf numFmtId="0" fontId="16" fillId="0" borderId="1" xfId="0" applyFont="1" applyBorder="1"/>
    <xf numFmtId="164" fontId="7" fillId="0" borderId="1" xfId="0" applyNumberFormat="1" applyFont="1" applyBorder="1"/>
    <xf numFmtId="0" fontId="7" fillId="0" borderId="3" xfId="0" applyFont="1" applyBorder="1"/>
    <xf numFmtId="0" fontId="16" fillId="0" borderId="3" xfId="0" applyFont="1" applyBorder="1"/>
    <xf numFmtId="164" fontId="7" fillId="0" borderId="3" xfId="0" applyNumberFormat="1" applyFont="1" applyBorder="1"/>
    <xf numFmtId="0" fontId="11" fillId="6" borderId="2" xfId="0" applyFont="1" applyFill="1" applyBorder="1"/>
    <xf numFmtId="0" fontId="12" fillId="6" borderId="2" xfId="0" applyFont="1" applyFill="1" applyBorder="1"/>
    <xf numFmtId="164" fontId="11" fillId="6" borderId="2" xfId="0" applyNumberFormat="1" applyFont="1" applyFill="1" applyBorder="1"/>
    <xf numFmtId="0" fontId="5" fillId="12" borderId="2" xfId="0" applyFont="1" applyFill="1" applyBorder="1"/>
    <xf numFmtId="0" fontId="0" fillId="12" borderId="2" xfId="0" applyFill="1" applyBorder="1"/>
    <xf numFmtId="164" fontId="5" fillId="12" borderId="2" xfId="0" applyNumberFormat="1" applyFont="1" applyFill="1" applyBorder="1"/>
    <xf numFmtId="0" fontId="18" fillId="0" borderId="0" xfId="0" applyFont="1"/>
    <xf numFmtId="0" fontId="3" fillId="10" borderId="0" xfId="0" applyFont="1" applyFill="1" applyAlignment="1">
      <alignment horizontal="center" vertical="center" wrapText="1"/>
    </xf>
    <xf numFmtId="164" fontId="19" fillId="0" borderId="0" xfId="1" applyNumberFormat="1" applyFont="1" applyAlignment="1">
      <alignment vertical="center"/>
    </xf>
    <xf numFmtId="0" fontId="7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164" fontId="7" fillId="0" borderId="1" xfId="0" applyNumberFormat="1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NumberFormat="1" applyAlignment="1">
      <alignment vertical="center" wrapText="1"/>
    </xf>
    <xf numFmtId="0" fontId="3" fillId="0" borderId="0" xfId="0" applyNumberFormat="1" applyFont="1" applyAlignment="1">
      <alignment vertical="center" wrapText="1"/>
    </xf>
    <xf numFmtId="0" fontId="5" fillId="0" borderId="0" xfId="0" applyFont="1"/>
    <xf numFmtId="164" fontId="0" fillId="0" borderId="0" xfId="0" applyNumberFormat="1"/>
    <xf numFmtId="166" fontId="0" fillId="0" borderId="0" xfId="0" quotePrefix="1" applyNumberFormat="1" applyAlignment="1">
      <alignment vertical="center" wrapText="1"/>
    </xf>
    <xf numFmtId="166" fontId="3" fillId="0" borderId="0" xfId="0" quotePrefix="1" applyNumberFormat="1" applyFont="1" applyAlignment="1">
      <alignment vertical="center" wrapText="1"/>
    </xf>
    <xf numFmtId="166" fontId="3" fillId="0" borderId="0" xfId="0" applyNumberFormat="1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0" fontId="0" fillId="0" borderId="0" xfId="0" applyFont="1" applyAlignment="1">
      <alignment vertical="center" wrapText="1"/>
    </xf>
    <xf numFmtId="164" fontId="0" fillId="0" borderId="0" xfId="0" applyNumberFormat="1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2" fillId="0" borderId="0" xfId="0" applyFont="1"/>
    <xf numFmtId="0" fontId="13" fillId="11" borderId="1" xfId="0" applyFont="1" applyFill="1" applyBorder="1"/>
    <xf numFmtId="0" fontId="14" fillId="11" borderId="1" xfId="0" applyFont="1" applyFill="1" applyBorder="1"/>
    <xf numFmtId="164" fontId="13" fillId="11" borderId="1" xfId="0" applyNumberFormat="1" applyFont="1" applyFill="1" applyBorder="1"/>
    <xf numFmtId="164" fontId="11" fillId="6" borderId="2" xfId="1" applyNumberFormat="1" applyFont="1" applyFill="1" applyBorder="1"/>
    <xf numFmtId="0" fontId="23" fillId="14" borderId="0" xfId="0" applyFont="1" applyFill="1" applyAlignment="1">
      <alignment vertical="center"/>
    </xf>
    <xf numFmtId="0" fontId="24" fillId="14" borderId="0" xfId="0" applyFont="1" applyFill="1"/>
    <xf numFmtId="0" fontId="25" fillId="15" borderId="0" xfId="0" applyFont="1" applyFill="1"/>
    <xf numFmtId="0" fontId="25" fillId="15" borderId="4" xfId="0" applyFont="1" applyFill="1" applyBorder="1"/>
    <xf numFmtId="0" fontId="25" fillId="15" borderId="5" xfId="0" applyFont="1" applyFill="1" applyBorder="1"/>
    <xf numFmtId="165" fontId="25" fillId="15" borderId="5" xfId="0" applyNumberFormat="1" applyFont="1" applyFill="1" applyBorder="1" applyAlignment="1">
      <alignment horizontal="left"/>
    </xf>
    <xf numFmtId="0" fontId="25" fillId="15" borderId="6" xfId="0" applyFont="1" applyFill="1" applyBorder="1"/>
    <xf numFmtId="0" fontId="26" fillId="15" borderId="4" xfId="0" applyFont="1" applyFill="1" applyBorder="1"/>
    <xf numFmtId="0" fontId="26" fillId="15" borderId="5" xfId="0" applyFont="1" applyFill="1" applyBorder="1"/>
    <xf numFmtId="0" fontId="26" fillId="15" borderId="6" xfId="0" applyFont="1" applyFill="1" applyBorder="1"/>
    <xf numFmtId="0" fontId="27" fillId="14" borderId="0" xfId="0" applyFont="1" applyFill="1" applyAlignment="1">
      <alignment vertical="center"/>
    </xf>
    <xf numFmtId="0" fontId="24" fillId="14" borderId="0" xfId="0" applyFont="1" applyFill="1" applyAlignment="1">
      <alignment vertical="center" wrapText="1"/>
    </xf>
    <xf numFmtId="0" fontId="28" fillId="14" borderId="0" xfId="0" applyFont="1" applyFill="1" applyAlignment="1">
      <alignment vertical="center"/>
    </xf>
    <xf numFmtId="0" fontId="6" fillId="16" borderId="0" xfId="0" applyFont="1" applyFill="1" applyAlignment="1">
      <alignment vertical="center"/>
    </xf>
    <xf numFmtId="0" fontId="16" fillId="16" borderId="0" xfId="0" applyFont="1" applyFill="1" applyAlignment="1">
      <alignment vertical="center"/>
    </xf>
    <xf numFmtId="0" fontId="7" fillId="16" borderId="0" xfId="0" applyFont="1" applyFill="1" applyAlignment="1">
      <alignment vertical="center"/>
    </xf>
    <xf numFmtId="0" fontId="8" fillId="16" borderId="0" xfId="0" applyFont="1" applyFill="1" applyAlignment="1">
      <alignment vertical="center"/>
    </xf>
    <xf numFmtId="0" fontId="29" fillId="0" borderId="0" xfId="3"/>
    <xf numFmtId="0" fontId="0" fillId="13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20" fillId="0" borderId="0" xfId="0" applyFont="1" applyAlignment="1">
      <alignment horizontal="left" vertical="center" wrapText="1"/>
    </xf>
    <xf numFmtId="0" fontId="3" fillId="0" borderId="0" xfId="0" quotePrefix="1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 applyAlignment="1">
      <alignment horizontal="center" vertical="center" wrapText="1"/>
    </xf>
    <xf numFmtId="164" fontId="0" fillId="0" borderId="0" xfId="1" quotePrefix="1" applyNumberFormat="1" applyFont="1" applyAlignment="1">
      <alignment vertical="center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numFmt numFmtId="0" formatCode="General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4" formatCode="0.00%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0" formatCode="General"/>
      <alignment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##&quot;.&quot;###&quot;.&quot;###&quot;.&quot;#&quot;-&quot;###&quot;.&quot;000"/>
      <alignment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vertical="center" textRotation="0" wrapText="1" indent="0" justifyLastLine="0" shrinkToFit="0" readingOrder="0"/>
    </dxf>
    <dxf>
      <numFmt numFmtId="0" formatCode="General"/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4" formatCode="_(* #,##0_);_(* \(#,##0\);_(* &quot;-&quot;??_);_(@_)"/>
      <alignment vertical="center" textRotation="0" wrapText="1" indent="0" justifyLastLine="0" shrinkToFit="0" readingOrder="0"/>
    </dxf>
    <dxf>
      <numFmt numFmtId="166" formatCode="##&quot;.&quot;###&quot;.&quot;###&quot;.&quot;#&quot;-&quot;###&quot;.&quot;000"/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391A05"/>
      <color rgb="FF1B6E77"/>
      <color rgb="FFEC7A2C"/>
      <color rgb="FFEF9253"/>
      <color rgb="FFADD8ED"/>
      <color rgb="FFB7EAEF"/>
      <color rgb="FF2DB7C5"/>
      <color rgb="FF269AA6"/>
      <color rgb="FF7ED8E2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564172</xdr:colOff>
      <xdr:row>10</xdr:row>
      <xdr:rowOff>117229</xdr:rowOff>
    </xdr:from>
    <xdr:to>
      <xdr:col>7</xdr:col>
      <xdr:colOff>512260</xdr:colOff>
      <xdr:row>13</xdr:row>
      <xdr:rowOff>182548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518" y="1868364"/>
          <a:ext cx="636819" cy="6368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201707</xdr:colOff>
      <xdr:row>43</xdr:row>
      <xdr:rowOff>89648</xdr:rowOff>
    </xdr:from>
    <xdr:to>
      <xdr:col>5</xdr:col>
      <xdr:colOff>907677</xdr:colOff>
      <xdr:row>49</xdr:row>
      <xdr:rowOff>11206</xdr:rowOff>
    </xdr:to>
    <xdr:grpSp>
      <xdr:nvGrpSpPr>
        <xdr:cNvPr id="10" name="Group 9"/>
        <xdr:cNvGrpSpPr/>
      </xdr:nvGrpSpPr>
      <xdr:grpSpPr>
        <a:xfrm>
          <a:off x="3888442" y="8113060"/>
          <a:ext cx="1692088" cy="1064558"/>
          <a:chOff x="4616824" y="7944971"/>
          <a:chExt cx="1692088" cy="1243852"/>
        </a:xfrm>
      </xdr:grpSpPr>
      <xdr:sp macro="" textlink="">
        <xdr:nvSpPr>
          <xdr:cNvPr id="2" name="Rounded Rectangle 1"/>
          <xdr:cNvSpPr/>
        </xdr:nvSpPr>
        <xdr:spPr>
          <a:xfrm>
            <a:off x="4616824" y="7944971"/>
            <a:ext cx="1692088" cy="38100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Prepared</a:t>
            </a:r>
            <a:r>
              <a:rPr lang="en-US" sz="1100" b="1" baseline="0">
                <a:solidFill>
                  <a:sysClr val="windowText" lastClr="000000"/>
                </a:solidFill>
              </a:rPr>
              <a:t> by</a:t>
            </a:r>
            <a:endParaRPr lang="en-US" sz="1100" b="1">
              <a:solidFill>
                <a:sysClr val="windowText" lastClr="000000"/>
              </a:solidFill>
            </a:endParaRPr>
          </a:p>
        </xdr:txBody>
      </xdr:sp>
      <xdr:sp macro="" textlink="infoStaffName">
        <xdr:nvSpPr>
          <xdr:cNvPr id="6" name="Rounded Rectangle 5"/>
          <xdr:cNvSpPr/>
        </xdr:nvSpPr>
        <xdr:spPr>
          <a:xfrm>
            <a:off x="4616824" y="8258735"/>
            <a:ext cx="1692088" cy="77320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8D5256C2-417B-40B7-A3B0-21EFE77328D2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Abdul Kurniawan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Connector 7"/>
          <xdr:cNvCxnSpPr/>
        </xdr:nvCxnSpPr>
        <xdr:spPr>
          <a:xfrm>
            <a:off x="5097108" y="8931088"/>
            <a:ext cx="731520" cy="0"/>
          </a:xfrm>
          <a:prstGeom prst="line">
            <a:avLst/>
          </a:prstGeom>
          <a:ln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infoStaffPos">
        <xdr:nvSpPr>
          <xdr:cNvPr id="7" name="Rounded Rectangle 6"/>
          <xdr:cNvSpPr/>
        </xdr:nvSpPr>
        <xdr:spPr>
          <a:xfrm>
            <a:off x="4616824" y="8964706"/>
            <a:ext cx="1692088" cy="224117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4D1FDB-3EE0-4163-A038-82261BA51C14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HR Manager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336177</xdr:colOff>
      <xdr:row>43</xdr:row>
      <xdr:rowOff>67235</xdr:rowOff>
    </xdr:from>
    <xdr:to>
      <xdr:col>11</xdr:col>
      <xdr:colOff>1042147</xdr:colOff>
      <xdr:row>48</xdr:row>
      <xdr:rowOff>179293</xdr:rowOff>
    </xdr:to>
    <xdr:grpSp>
      <xdr:nvGrpSpPr>
        <xdr:cNvPr id="11" name="Group 10"/>
        <xdr:cNvGrpSpPr/>
      </xdr:nvGrpSpPr>
      <xdr:grpSpPr>
        <a:xfrm>
          <a:off x="9883589" y="8090647"/>
          <a:ext cx="1692087" cy="1064558"/>
          <a:chOff x="4616824" y="7944971"/>
          <a:chExt cx="1692088" cy="1243852"/>
        </a:xfrm>
      </xdr:grpSpPr>
      <xdr:sp macro="" textlink="">
        <xdr:nvSpPr>
          <xdr:cNvPr id="12" name="Rounded Rectangle 11"/>
          <xdr:cNvSpPr/>
        </xdr:nvSpPr>
        <xdr:spPr>
          <a:xfrm>
            <a:off x="4616824" y="7944971"/>
            <a:ext cx="1692088" cy="38100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Prepared</a:t>
            </a:r>
            <a:r>
              <a:rPr lang="en-US" sz="1100" b="1" baseline="0">
                <a:solidFill>
                  <a:sysClr val="windowText" lastClr="000000"/>
                </a:solidFill>
              </a:rPr>
              <a:t> by</a:t>
            </a:r>
            <a:endParaRPr lang="en-US" sz="1100" b="1">
              <a:solidFill>
                <a:sysClr val="windowText" lastClr="000000"/>
              </a:solidFill>
            </a:endParaRPr>
          </a:p>
        </xdr:txBody>
      </xdr:sp>
      <xdr:sp macro="" textlink="infoStaffName">
        <xdr:nvSpPr>
          <xdr:cNvPr id="13" name="Rounded Rectangle 12"/>
          <xdr:cNvSpPr/>
        </xdr:nvSpPr>
        <xdr:spPr>
          <a:xfrm>
            <a:off x="4616824" y="8258735"/>
            <a:ext cx="1692088" cy="77320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8D5256C2-417B-40B7-A3B0-21EFE77328D2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Abdul Kurniawan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Connector 13"/>
          <xdr:cNvCxnSpPr/>
        </xdr:nvCxnSpPr>
        <xdr:spPr>
          <a:xfrm>
            <a:off x="5097108" y="8931088"/>
            <a:ext cx="731520" cy="0"/>
          </a:xfrm>
          <a:prstGeom prst="line">
            <a:avLst/>
          </a:prstGeom>
          <a:ln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infoStaffPos">
        <xdr:nvSpPr>
          <xdr:cNvPr id="15" name="Rounded Rectangle 14"/>
          <xdr:cNvSpPr/>
        </xdr:nvSpPr>
        <xdr:spPr>
          <a:xfrm>
            <a:off x="4616824" y="8964706"/>
            <a:ext cx="1692088" cy="224117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4D1FDB-3EE0-4163-A038-82261BA51C14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HR Manager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23</xdr:row>
      <xdr:rowOff>105834</xdr:rowOff>
    </xdr:from>
    <xdr:to>
      <xdr:col>5</xdr:col>
      <xdr:colOff>887755</xdr:colOff>
      <xdr:row>29</xdr:row>
      <xdr:rowOff>27392</xdr:rowOff>
    </xdr:to>
    <xdr:grpSp>
      <xdr:nvGrpSpPr>
        <xdr:cNvPr id="6" name="Group 5"/>
        <xdr:cNvGrpSpPr/>
      </xdr:nvGrpSpPr>
      <xdr:grpSpPr>
        <a:xfrm>
          <a:off x="4286250" y="4233334"/>
          <a:ext cx="1692088" cy="1064558"/>
          <a:chOff x="4616824" y="7944971"/>
          <a:chExt cx="1692088" cy="1243852"/>
        </a:xfrm>
      </xdr:grpSpPr>
      <xdr:sp macro="" textlink="">
        <xdr:nvSpPr>
          <xdr:cNvPr id="7" name="Rounded Rectangle 6"/>
          <xdr:cNvSpPr/>
        </xdr:nvSpPr>
        <xdr:spPr>
          <a:xfrm>
            <a:off x="4616824" y="7944971"/>
            <a:ext cx="1692088" cy="38100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Prepared</a:t>
            </a:r>
            <a:r>
              <a:rPr lang="en-US" sz="1100" b="1" baseline="0">
                <a:solidFill>
                  <a:sysClr val="windowText" lastClr="000000"/>
                </a:solidFill>
              </a:rPr>
              <a:t> by</a:t>
            </a:r>
            <a:endParaRPr lang="en-US" sz="1100" b="1">
              <a:solidFill>
                <a:sysClr val="windowText" lastClr="000000"/>
              </a:solidFill>
            </a:endParaRPr>
          </a:p>
        </xdr:txBody>
      </xdr:sp>
      <xdr:sp macro="" textlink="infoStaffName">
        <xdr:nvSpPr>
          <xdr:cNvPr id="8" name="Rounded Rectangle 7"/>
          <xdr:cNvSpPr/>
        </xdr:nvSpPr>
        <xdr:spPr>
          <a:xfrm>
            <a:off x="4616824" y="8258735"/>
            <a:ext cx="1692088" cy="77320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8D5256C2-417B-40B7-A3B0-21EFE77328D2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Abdul Kurniawan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" name="Straight Connector 8"/>
          <xdr:cNvCxnSpPr/>
        </xdr:nvCxnSpPr>
        <xdr:spPr>
          <a:xfrm>
            <a:off x="5097108" y="8931088"/>
            <a:ext cx="731520" cy="0"/>
          </a:xfrm>
          <a:prstGeom prst="line">
            <a:avLst/>
          </a:prstGeom>
          <a:ln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infoStaffPos">
        <xdr:nvSpPr>
          <xdr:cNvPr id="10" name="Rounded Rectangle 9"/>
          <xdr:cNvSpPr/>
        </xdr:nvSpPr>
        <xdr:spPr>
          <a:xfrm>
            <a:off x="4616824" y="8964706"/>
            <a:ext cx="1692088" cy="224117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4D1FDB-3EE0-4163-A038-82261BA51C14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HR Manager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402167</xdr:colOff>
      <xdr:row>23</xdr:row>
      <xdr:rowOff>74084</xdr:rowOff>
    </xdr:from>
    <xdr:to>
      <xdr:col>12</xdr:col>
      <xdr:colOff>19922</xdr:colOff>
      <xdr:row>28</xdr:row>
      <xdr:rowOff>186142</xdr:rowOff>
    </xdr:to>
    <xdr:grpSp>
      <xdr:nvGrpSpPr>
        <xdr:cNvPr id="11" name="Group 10"/>
        <xdr:cNvGrpSpPr/>
      </xdr:nvGrpSpPr>
      <xdr:grpSpPr>
        <a:xfrm>
          <a:off x="10752667" y="4201584"/>
          <a:ext cx="1692088" cy="1064558"/>
          <a:chOff x="4616824" y="7944971"/>
          <a:chExt cx="1692088" cy="1243852"/>
        </a:xfrm>
      </xdr:grpSpPr>
      <xdr:sp macro="" textlink="">
        <xdr:nvSpPr>
          <xdr:cNvPr id="12" name="Rounded Rectangle 11"/>
          <xdr:cNvSpPr/>
        </xdr:nvSpPr>
        <xdr:spPr>
          <a:xfrm>
            <a:off x="4616824" y="7944971"/>
            <a:ext cx="1692088" cy="38100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>
                <a:solidFill>
                  <a:sysClr val="windowText" lastClr="000000"/>
                </a:solidFill>
              </a:rPr>
              <a:t>Prepared</a:t>
            </a:r>
            <a:r>
              <a:rPr lang="en-US" sz="1100" b="1" baseline="0">
                <a:solidFill>
                  <a:sysClr val="windowText" lastClr="000000"/>
                </a:solidFill>
              </a:rPr>
              <a:t> by</a:t>
            </a:r>
            <a:endParaRPr lang="en-US" sz="1100" b="1">
              <a:solidFill>
                <a:sysClr val="windowText" lastClr="000000"/>
              </a:solidFill>
            </a:endParaRPr>
          </a:p>
        </xdr:txBody>
      </xdr:sp>
      <xdr:sp macro="" textlink="infoStaffName">
        <xdr:nvSpPr>
          <xdr:cNvPr id="13" name="Rounded Rectangle 12"/>
          <xdr:cNvSpPr/>
        </xdr:nvSpPr>
        <xdr:spPr>
          <a:xfrm>
            <a:off x="4616824" y="8258735"/>
            <a:ext cx="1692088" cy="77320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8D5256C2-417B-40B7-A3B0-21EFE77328D2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Abdul Kurniawan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Connector 13"/>
          <xdr:cNvCxnSpPr/>
        </xdr:nvCxnSpPr>
        <xdr:spPr>
          <a:xfrm>
            <a:off x="5097108" y="8931088"/>
            <a:ext cx="731520" cy="0"/>
          </a:xfrm>
          <a:prstGeom prst="line">
            <a:avLst/>
          </a:prstGeom>
          <a:ln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infoStaffPos">
        <xdr:nvSpPr>
          <xdr:cNvPr id="15" name="Rounded Rectangle 14"/>
          <xdr:cNvSpPr/>
        </xdr:nvSpPr>
        <xdr:spPr>
          <a:xfrm>
            <a:off x="4616824" y="8964706"/>
            <a:ext cx="1692088" cy="224117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4D1FDB-3EE0-4163-A038-82261BA51C14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  <a:cs typeface="Calibri"/>
              </a:rPr>
              <a:pPr algn="ctr"/>
              <a:t>HR Manager</a:t>
            </a:fld>
            <a:endParaRPr lang="en-US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bEMP" displayName="tbEMP" ref="B6:AQ16" totalsRowCount="1" headerRowDxfId="150" dataDxfId="149" totalsRowDxfId="148">
  <autoFilter ref="B6:AQ15"/>
  <tableColumns count="42">
    <tableColumn id="1" name="ID KARY." totalsRowLabel="Total" dataDxfId="147" totalsRowDxfId="65"/>
    <tableColumn id="2" name="NAMA1" totalsRowFunction="custom" dataDxfId="146" totalsRowDxfId="64">
      <totalsRowFormula>COUNTA(tbEMP[NAMA1])</totalsRowFormula>
    </tableColumn>
    <tableColumn id="3" name="NAMA2" dataDxfId="145" totalsRowDxfId="63"/>
    <tableColumn id="4" name="MARGA" dataDxfId="144" totalsRowDxfId="62"/>
    <tableColumn id="38" name="BANK" dataDxfId="143" totalsRowDxfId="61"/>
    <tableColumn id="39" name="BANK NUMBER" dataDxfId="142" totalsRowDxfId="60"/>
    <tableColumn id="5" name="STATUS" dataDxfId="141" totalsRowDxfId="59"/>
    <tableColumn id="6" name="NPWP" dataDxfId="140" totalsRowDxfId="58"/>
    <tableColumn id="7" name="BASE SALARY" totalsRowFunction="sum" dataDxfId="139" totalsRowDxfId="57" dataCellStyle="Comma"/>
    <tableColumn id="8" name="JABATAN" totalsRowFunction="sum" dataDxfId="138" totalsRowDxfId="56" dataCellStyle="Comma"/>
    <tableColumn id="9" name="TRANSPORT" totalsRowFunction="sum" dataDxfId="137" totalsRowDxfId="55" dataCellStyle="Comma"/>
    <tableColumn id="10" name="KONSUMSI" totalsRowFunction="sum" dataDxfId="136" totalsRowDxfId="54" dataCellStyle="Comma"/>
    <tableColumn id="11" name="PULSA" totalsRowFunction="sum" dataDxfId="135" totalsRowDxfId="53" dataCellStyle="Comma"/>
    <tableColumn id="42" name="TUNJ. LAINNYA" dataDxfId="134" totalsRowDxfId="52" dataCellStyle="Comma"/>
    <tableColumn id="19" name="GAJI POKOK + TUNJ." totalsRowFunction="sum" dataDxfId="133" totalsRowDxfId="51" dataCellStyle="Comma"/>
    <tableColumn id="16" name="BPJS" totalsRowFunction="sum" dataDxfId="132" totalsRowDxfId="50" dataCellStyle="Comma"/>
    <tableColumn id="17" name="JKK" totalsRowFunction="sum" dataDxfId="131" totalsRowDxfId="49" dataCellStyle="Comma"/>
    <tableColumn id="18" name="JKM" totalsRowFunction="sum" dataDxfId="130" totalsRowDxfId="48" dataCellStyle="Comma"/>
    <tableColumn id="20" name="JHT" totalsRowFunction="sum" dataDxfId="129" totalsRowDxfId="47" dataCellStyle="Comma"/>
    <tableColumn id="21" name="JP" totalsRowFunction="sum" dataDxfId="128" totalsRowDxfId="46" dataCellStyle="Comma"/>
    <tableColumn id="26" name="IURAN LAINNYA" totalsRowFunction="sum" dataDxfId="127" totalsRowDxfId="45" dataCellStyle="Comma"/>
    <tableColumn id="25" name="BPJS " totalsRowFunction="sum" dataDxfId="126" totalsRowDxfId="44" dataCellStyle="Comma"/>
    <tableColumn id="23" name="JKM " totalsRowFunction="sum" dataDxfId="125" totalsRowDxfId="43" dataCellStyle="Comma"/>
    <tableColumn id="22" name="JHT " totalsRowFunction="sum" dataDxfId="124" totalsRowDxfId="42" dataCellStyle="Comma"/>
    <tableColumn id="12" name="JP " totalsRowFunction="sum" dataDxfId="123" totalsRowDxfId="41" dataCellStyle="Comma"/>
    <tableColumn id="27" name="IURAN LAINNYA " totalsRowFunction="sum" dataDxfId="122" totalsRowDxfId="40" dataCellStyle="Comma"/>
    <tableColumn id="13" name="BONUS" totalsRowFunction="sum" dataDxfId="121" totalsRowDxfId="39" dataCellStyle="Comma"/>
    <tableColumn id="14" name="LEMBUR" totalsRowFunction="sum" dataDxfId="120" totalsRowDxfId="38" dataCellStyle="Comma"/>
    <tableColumn id="15" name="THR" totalsRowFunction="sum" dataDxfId="119" totalsRowDxfId="37" dataCellStyle="Comma"/>
    <tableColumn id="28" name="TIDAK RUTIN LAINNYA" totalsRowFunction="sum" dataDxfId="118" totalsRowDxfId="36" dataCellStyle="Comma"/>
    <tableColumn id="24" name="GAJI BRUTO _x000a_(tax)" totalsRowFunction="sum" dataDxfId="117" totalsRowDxfId="35" dataCellStyle="Comma"/>
    <tableColumn id="37" name="GAJI BRUTO" totalsRowFunction="sum" dataDxfId="116" totalsRowDxfId="34" dataCellStyle="Comma"/>
    <tableColumn id="29" name="POT. BPJS" totalsRowFunction="sum" dataDxfId="115" totalsRowDxfId="33" dataCellStyle="Comma"/>
    <tableColumn id="30" name="POT. JKK" totalsRowFunction="sum" dataDxfId="114" totalsRowDxfId="32" dataCellStyle="Comma"/>
    <tableColumn id="31" name="POT. JKM" totalsRowFunction="sum" dataDxfId="113" totalsRowDxfId="31" dataCellStyle="Comma"/>
    <tableColumn id="32" name="POT. JHT" totalsRowFunction="sum" dataDxfId="112" totalsRowDxfId="30" dataCellStyle="Comma"/>
    <tableColumn id="33" name="POT. JP" totalsRowFunction="sum" dataDxfId="111" totalsRowDxfId="29" dataCellStyle="Comma"/>
    <tableColumn id="34" name="POT. IURAN LAINNYA" totalsRowFunction="sum" dataDxfId="110" totalsRowDxfId="28" dataCellStyle="Comma"/>
    <tableColumn id="40" name="POTONGAN LAIN" totalsRowFunction="sum" dataDxfId="109" totalsRowDxfId="27" dataCellStyle="Comma"/>
    <tableColumn id="41" name="REMARKS" totalsRowFunction="sum" dataDxfId="108" totalsRowDxfId="26" dataCellStyle="Comma"/>
    <tableColumn id="35" name="PPH 21" totalsRowFunction="sum" dataDxfId="107" totalsRowDxfId="25" dataCellStyle="Comma"/>
    <tableColumn id="36" name="TAKE HOME PAY" totalsRowFunction="sum" dataDxfId="106" totalsRowDxfId="24" dataCellStyle="Comma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5" name="tbTAX" displayName="tbTAX" ref="B6:R13" totalsRowCount="1" headerRowDxfId="105" dataDxfId="104">
  <autoFilter ref="B6:R12"/>
  <tableColumns count="17">
    <tableColumn id="1" name="ID KARY." totalsRowLabel="Total" dataDxfId="103" totalsRowDxfId="23"/>
    <tableColumn id="2" name="NAMA" dataDxfId="102" totalsRowDxfId="22"/>
    <tableColumn id="5" name="STATUS" dataDxfId="101" totalsRowDxfId="21"/>
    <tableColumn id="6" name="NPWP" dataDxfId="100" totalsRowDxfId="20"/>
    <tableColumn id="7" name="GAJI BRUTO (tax)" totalsRowFunction="sum" dataDxfId="99" totalsRowDxfId="19" dataCellStyle="Comma"/>
    <tableColumn id="13" name="BIAYA JABATAN" totalsRowFunction="sum" dataDxfId="98" totalsRowDxfId="18" dataCellStyle="Comma"/>
    <tableColumn id="14" name="BIAYA PENSIUN" totalsRowFunction="sum" dataDxfId="97" totalsRowDxfId="17" dataCellStyle="Comma"/>
    <tableColumn id="15" name="IURAN DI BYR KARYAWAN" totalsRowFunction="sum" dataDxfId="96" totalsRowDxfId="16" dataCellStyle="Comma"/>
    <tableColumn id="8" name="PENGH. NETO SEBULAN" totalsRowFunction="sum" dataDxfId="95" totalsRowDxfId="15" dataCellStyle="Comma"/>
    <tableColumn id="17" name="PENGH. NETO SETAHUN" totalsRowFunction="sum" dataDxfId="94" totalsRowDxfId="14" dataCellStyle="Comma"/>
    <tableColumn id="16" name="PTKP" totalsRowFunction="sum" dataDxfId="93" totalsRowDxfId="13" dataCellStyle="Comma"/>
    <tableColumn id="18" name="PKP SETAHUN" totalsRowFunction="sum" dataDxfId="92" totalsRowDxfId="12" dataCellStyle="Comma"/>
    <tableColumn id="19" name="PEMBULATAN" totalsRowFunction="sum" dataDxfId="91" totalsRowDxfId="11" dataCellStyle="Comma"/>
    <tableColumn id="10" name="PPH 21 SBLM. PENALTY" totalsRowFunction="sum" dataDxfId="90" totalsRowDxfId="10" dataCellStyle="Comma"/>
    <tableColumn id="3" name="Penalty NPWP" totalsRowFunction="sum" dataDxfId="89" totalsRowDxfId="9" dataCellStyle="Comma"/>
    <tableColumn id="11" name="PPH 21 TERUTANG" totalsRowFunction="sum" dataDxfId="88" totalsRowDxfId="8" dataCellStyle="Comma"/>
    <tableColumn id="12" name="PPH 21 SEBULAN" totalsRowFunction="sum" dataDxfId="87" totalsRowDxfId="7" dataCellStyle="Comma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6" name="tbBANK" displayName="tbBANK" ref="B6:G10" totalsRowCount="1" headerRowDxfId="86" dataDxfId="85" totalsRowDxfId="84">
  <autoFilter ref="B6:G9"/>
  <tableColumns count="6">
    <tableColumn id="1" name="ID KARY." totalsRowLabel="Total" dataDxfId="83" totalsRowDxfId="5">
      <calculatedColumnFormula>tbEMP[ID KARY.]</calculatedColumnFormula>
    </tableColumn>
    <tableColumn id="2" name="NAMA" dataDxfId="6" totalsRowDxfId="4">
      <calculatedColumnFormula>tbEMP[[#This Row],[NAMA1]]&amp;" "&amp;IF(tbEMP[[#This Row],[NAMA2]]&lt;&gt;"",LEFT(tbEMP[[#This Row],[NAMA2]],1),"")&amp;". "&amp;tbEMP[[#This Row],[MARGA]]</calculatedColumnFormula>
    </tableColumn>
    <tableColumn id="6" name="BERITA" dataDxfId="82" totalsRowDxfId="3">
      <calculatedColumnFormula>$F$1&amp;" - "&amp;tbBANK[[#This Row],[ID KARY.]]&amp;" - "&amp;TEXT(infoPeriod,"MMM YYYY")</calculatedColumnFormula>
    </tableColumn>
    <tableColumn id="3" name="BANK" dataDxfId="81" totalsRowDxfId="2">
      <calculatedColumnFormula>tbEMP[[#This Row],[BANK]]</calculatedColumnFormula>
    </tableColumn>
    <tableColumn id="4" name="NO REKENING" dataDxfId="80" totalsRowDxfId="1">
      <calculatedColumnFormula>tbEMP[[#This Row],[BANK NUMBER]]</calculatedColumnFormula>
    </tableColumn>
    <tableColumn id="5" name="JUMLAH" totalsRowFunction="sum" dataDxfId="79" totalsRowDxfId="0" dataCellStyle="Comma">
      <calculatedColumnFormula>tbEMP[[#This Row],[TAKE HOME PAY]]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varPTKP" displayName="varPTKP" ref="B3:D8" totalsRowShown="0" headerRowDxfId="78">
  <autoFilter ref="B3:D8"/>
  <tableColumns count="3">
    <tableColumn id="1" name="STATUS"/>
    <tableColumn id="3" name="MONTH" dataDxfId="77" dataCellStyle="Comma">
      <calculatedColumnFormula>varPTKP[[#This Row],[YEAR]]/12</calculatedColumnFormula>
    </tableColumn>
    <tableColumn id="2" name="YEAR" dataDxfId="76" dataCellStyle="Comma"/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id="3" name="varKelompok" displayName="varKelompok" ref="F3:G8" totalsRowShown="0" headerRowDxfId="75">
  <autoFilter ref="F3:G8"/>
  <tableColumns count="2">
    <tableColumn id="1" name="KELOMPOK"/>
    <tableColumn id="2" name="% JKK" dataDxfId="74" dataCellStyle="Percent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varJaminan" displayName="varJaminan" ref="I3:O8" totalsRowShown="0" headerRowDxfId="73">
  <autoFilter ref="I3:O8"/>
  <tableColumns count="7">
    <tableColumn id="1" name="JAMINAN"/>
    <tableColumn id="6" name="CODE"/>
    <tableColumn id="2" name="PEMBERI KERJA" dataDxfId="72" dataCellStyle="Percent"/>
    <tableColumn id="3" name="PEKERJA" dataDxfId="71" dataCellStyle="Percent"/>
    <tableColumn id="7" name="KELOMPOK" dataDxfId="70" dataCellStyle="Percent"/>
    <tableColumn id="4" name="BL" dataDxfId="69" dataCellStyle="Comma"/>
    <tableColumn id="5" name="UL" dataDxfId="68" dataCellStyle="Comma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id="7" name="varTAX" displayName="varTAX" ref="I12:M14" totalsRowShown="0">
  <tableColumns count="5">
    <tableColumn id="1" name="VAR"/>
    <tableColumn id="2" name="CODE"/>
    <tableColumn id="3" name="VALUE"/>
    <tableColumn id="4" name="BL" dataDxfId="67" dataCellStyle="Comma"/>
    <tableColumn id="5" name="UL" dataDxfId="66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channel/UCvyHSXjsk6adzAGblvaEbGw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15"/>
  <sheetViews>
    <sheetView showGridLines="0" showRowColHeaders="0" tabSelected="1" zoomScale="130" zoomScaleNormal="130" workbookViewId="0">
      <selection activeCell="C17" sqref="C17"/>
    </sheetView>
  </sheetViews>
  <sheetFormatPr defaultRowHeight="15" x14ac:dyDescent="0.25"/>
  <cols>
    <col min="1" max="1" width="0.625" customWidth="1"/>
    <col min="2" max="2" width="24.25" customWidth="1"/>
    <col min="3" max="3" width="22.75" customWidth="1"/>
  </cols>
  <sheetData>
    <row r="1" spans="2:11" ht="3" customHeight="1" x14ac:dyDescent="0.25"/>
    <row r="2" spans="2:11" ht="29.25" customHeight="1" x14ac:dyDescent="0.25">
      <c r="B2" s="81" t="s">
        <v>150</v>
      </c>
      <c r="C2" s="82"/>
      <c r="D2" s="82"/>
      <c r="E2" s="82"/>
      <c r="F2" s="82"/>
      <c r="G2" s="82"/>
      <c r="H2" s="82"/>
      <c r="I2" s="82"/>
      <c r="J2" s="82"/>
      <c r="K2" s="82"/>
    </row>
    <row r="3" spans="2:11" ht="9.75" customHeight="1" x14ac:dyDescent="0.25"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2:11" x14ac:dyDescent="0.25">
      <c r="B4" s="88" t="s">
        <v>75</v>
      </c>
      <c r="C4" s="84" t="s">
        <v>137</v>
      </c>
      <c r="D4" s="83"/>
      <c r="E4" s="83"/>
      <c r="F4" s="83"/>
      <c r="G4" s="83"/>
      <c r="H4" s="83"/>
      <c r="I4" s="83"/>
      <c r="J4" s="83"/>
      <c r="K4" s="83"/>
    </row>
    <row r="5" spans="2:11" x14ac:dyDescent="0.25">
      <c r="B5" s="89" t="s">
        <v>74</v>
      </c>
      <c r="C5" s="85" t="s">
        <v>136</v>
      </c>
      <c r="D5" s="83"/>
      <c r="E5" s="83"/>
      <c r="F5" s="83"/>
      <c r="G5" s="83"/>
      <c r="H5" s="83"/>
      <c r="I5" s="83"/>
      <c r="J5" s="83"/>
      <c r="K5" s="83"/>
    </row>
    <row r="6" spans="2:11" x14ac:dyDescent="0.25">
      <c r="B6" s="89" t="s">
        <v>76</v>
      </c>
      <c r="C6" s="86">
        <f ca="1">TODAY()</f>
        <v>44149</v>
      </c>
      <c r="D6" s="83"/>
      <c r="E6" s="83"/>
      <c r="F6" s="83"/>
      <c r="G6" s="83"/>
      <c r="H6" s="83"/>
      <c r="I6" s="83"/>
      <c r="J6" s="83"/>
      <c r="K6" s="83"/>
    </row>
    <row r="7" spans="2:11" x14ac:dyDescent="0.25">
      <c r="B7" s="89" t="s">
        <v>138</v>
      </c>
      <c r="C7" s="85" t="s">
        <v>149</v>
      </c>
      <c r="D7" s="83"/>
      <c r="E7" s="83"/>
      <c r="F7" s="83"/>
      <c r="G7" s="83"/>
      <c r="H7" s="83"/>
      <c r="I7" s="83"/>
      <c r="J7" s="83"/>
      <c r="K7" s="83"/>
    </row>
    <row r="8" spans="2:11" x14ac:dyDescent="0.25">
      <c r="B8" s="90" t="s">
        <v>139</v>
      </c>
      <c r="C8" s="87" t="s">
        <v>140</v>
      </c>
      <c r="D8" s="83"/>
      <c r="E8" s="83"/>
      <c r="F8" s="83"/>
      <c r="G8" s="83"/>
      <c r="H8" s="83"/>
      <c r="I8" s="83"/>
      <c r="J8" s="83"/>
      <c r="K8" s="83"/>
    </row>
    <row r="9" spans="2:11" ht="6" customHeight="1" x14ac:dyDescent="0.25">
      <c r="B9" s="83"/>
      <c r="C9" s="83"/>
      <c r="D9" s="83"/>
      <c r="E9" s="83"/>
      <c r="F9" s="83"/>
      <c r="G9" s="83"/>
      <c r="H9" s="83"/>
      <c r="I9" s="83"/>
      <c r="J9" s="83"/>
      <c r="K9" s="83"/>
    </row>
    <row r="14" spans="2:11" x14ac:dyDescent="0.25">
      <c r="F14" t="s">
        <v>152</v>
      </c>
    </row>
    <row r="15" spans="2:11" x14ac:dyDescent="0.25">
      <c r="F15" s="98" t="s">
        <v>153</v>
      </c>
    </row>
  </sheetData>
  <hyperlinks>
    <hyperlink ref="F15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mp">
    <tabColor rgb="FF391A05"/>
  </sheetPr>
  <dimension ref="A1:AR16"/>
  <sheetViews>
    <sheetView showGridLines="0" workbookViewId="0">
      <pane xSplit="3" ySplit="6" topLeftCell="D7" activePane="bottomRight" state="frozen"/>
      <selection activeCell="C30" sqref="C30"/>
      <selection pane="topRight" activeCell="C30" sqref="C30"/>
      <selection pane="bottomLeft" activeCell="C30" sqref="C30"/>
      <selection pane="bottomRight" activeCell="E11" sqref="E11"/>
    </sheetView>
  </sheetViews>
  <sheetFormatPr defaultColWidth="0" defaultRowHeight="15" x14ac:dyDescent="0.25"/>
  <cols>
    <col min="1" max="1" width="0.5" style="2" customWidth="1"/>
    <col min="2" max="2" width="9.75" style="2" customWidth="1"/>
    <col min="3" max="4" width="11.25" style="2" customWidth="1"/>
    <col min="5" max="5" width="14.375" style="2" customWidth="1"/>
    <col min="6" max="6" width="8.75" style="2" bestFit="1" customWidth="1"/>
    <col min="7" max="7" width="12.25" style="2" customWidth="1"/>
    <col min="8" max="8" width="7.5" style="2" customWidth="1"/>
    <col min="9" max="9" width="20.875" style="2" customWidth="1"/>
    <col min="10" max="10" width="12.625" style="2" bestFit="1" customWidth="1"/>
    <col min="11" max="11" width="11.125" style="2" bestFit="1" customWidth="1"/>
    <col min="12" max="13" width="9" style="2" customWidth="1"/>
    <col min="14" max="14" width="9.625" style="2" bestFit="1" customWidth="1"/>
    <col min="15" max="15" width="9.625" style="2" customWidth="1"/>
    <col min="16" max="16" width="12" style="2" customWidth="1"/>
    <col min="17" max="17" width="9.25" style="2" customWidth="1"/>
    <col min="18" max="18" width="9.125" style="2" customWidth="1"/>
    <col min="19" max="22" width="9.25" style="2" customWidth="1"/>
    <col min="23" max="27" width="9.375" style="2" customWidth="1"/>
    <col min="28" max="31" width="9.625" style="2" customWidth="1"/>
    <col min="32" max="33" width="12" style="2" customWidth="1"/>
    <col min="34" max="40" width="9" style="2" customWidth="1"/>
    <col min="41" max="41" width="24.625" style="2" customWidth="1"/>
    <col min="42" max="42" width="9" style="2" customWidth="1"/>
    <col min="43" max="43" width="12.125" style="2" customWidth="1"/>
    <col min="44" max="44" width="0.375" style="2" customWidth="1"/>
    <col min="45" max="16384" width="9" style="2" hidden="1"/>
  </cols>
  <sheetData>
    <row r="1" spans="2:43" ht="18.75" x14ac:dyDescent="0.25">
      <c r="B1" s="91" t="str">
        <f>infoCompanyName</f>
        <v>SimAcc2 - Employee Salary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</row>
    <row r="2" spans="2:43" x14ac:dyDescent="0.25">
      <c r="B2" s="93" t="str">
        <f>infoCompAddr</f>
        <v>mycompany address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</row>
    <row r="3" spans="2:43" ht="23.25" x14ac:dyDescent="0.25">
      <c r="B3" s="81" t="s">
        <v>78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</row>
    <row r="4" spans="2:43" x14ac:dyDescent="0.25">
      <c r="B4" s="93" t="str">
        <f ca="1">TEXT(infoPeriod,"D MMM YYYY")</f>
        <v>14 Nov 2020</v>
      </c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</row>
    <row r="5" spans="2:43" s="5" customFormat="1" x14ac:dyDescent="0.25">
      <c r="K5" s="100" t="s">
        <v>13</v>
      </c>
      <c r="L5" s="100"/>
      <c r="M5" s="100"/>
      <c r="N5" s="100"/>
      <c r="O5" s="22"/>
      <c r="P5" s="6"/>
      <c r="Q5" s="101" t="s">
        <v>23</v>
      </c>
      <c r="R5" s="101"/>
      <c r="S5" s="101"/>
      <c r="T5" s="101"/>
      <c r="U5" s="101"/>
      <c r="V5" s="101"/>
      <c r="W5" s="102" t="s">
        <v>43</v>
      </c>
      <c r="X5" s="102"/>
      <c r="Y5" s="102"/>
      <c r="Z5" s="102"/>
      <c r="AA5" s="102"/>
      <c r="AB5" s="100" t="s">
        <v>19</v>
      </c>
      <c r="AC5" s="100"/>
      <c r="AD5" s="100"/>
      <c r="AE5" s="100"/>
      <c r="AH5" s="103" t="s">
        <v>65</v>
      </c>
      <c r="AI5" s="103"/>
      <c r="AJ5" s="103"/>
      <c r="AK5" s="103"/>
      <c r="AL5" s="103"/>
      <c r="AM5" s="103"/>
      <c r="AN5" s="99" t="s">
        <v>95</v>
      </c>
      <c r="AO5" s="99"/>
    </row>
    <row r="6" spans="2:43" ht="25.5" x14ac:dyDescent="0.25">
      <c r="B6" s="9" t="s">
        <v>0</v>
      </c>
      <c r="C6" s="9" t="s">
        <v>1</v>
      </c>
      <c r="D6" s="9" t="s">
        <v>2</v>
      </c>
      <c r="E6" s="9" t="s">
        <v>3</v>
      </c>
      <c r="F6" s="9" t="s">
        <v>79</v>
      </c>
      <c r="G6" s="9" t="s">
        <v>80</v>
      </c>
      <c r="H6" s="9" t="s">
        <v>4</v>
      </c>
      <c r="I6" s="9" t="s">
        <v>11</v>
      </c>
      <c r="J6" s="9" t="s">
        <v>12</v>
      </c>
      <c r="K6" s="13" t="s">
        <v>14</v>
      </c>
      <c r="L6" s="13" t="s">
        <v>15</v>
      </c>
      <c r="M6" s="13" t="s">
        <v>16</v>
      </c>
      <c r="N6" s="13" t="s">
        <v>17</v>
      </c>
      <c r="O6" s="13" t="s">
        <v>110</v>
      </c>
      <c r="P6" s="9" t="s">
        <v>26</v>
      </c>
      <c r="Q6" s="12" t="s">
        <v>24</v>
      </c>
      <c r="R6" s="12" t="s">
        <v>25</v>
      </c>
      <c r="S6" s="12" t="s">
        <v>29</v>
      </c>
      <c r="T6" s="12" t="s">
        <v>31</v>
      </c>
      <c r="U6" s="12" t="s">
        <v>32</v>
      </c>
      <c r="V6" s="12" t="s">
        <v>48</v>
      </c>
      <c r="W6" s="14" t="s">
        <v>44</v>
      </c>
      <c r="X6" s="14" t="s">
        <v>45</v>
      </c>
      <c r="Y6" s="14" t="s">
        <v>46</v>
      </c>
      <c r="Z6" s="14" t="s">
        <v>47</v>
      </c>
      <c r="AA6" s="14" t="s">
        <v>49</v>
      </c>
      <c r="AB6" s="15" t="s">
        <v>20</v>
      </c>
      <c r="AC6" s="15" t="s">
        <v>22</v>
      </c>
      <c r="AD6" s="15" t="s">
        <v>21</v>
      </c>
      <c r="AE6" s="15" t="s">
        <v>59</v>
      </c>
      <c r="AF6" s="9" t="s">
        <v>135</v>
      </c>
      <c r="AG6" s="9" t="s">
        <v>50</v>
      </c>
      <c r="AH6" s="16" t="s">
        <v>66</v>
      </c>
      <c r="AI6" s="16" t="s">
        <v>67</v>
      </c>
      <c r="AJ6" s="16" t="s">
        <v>68</v>
      </c>
      <c r="AK6" s="16" t="s">
        <v>69</v>
      </c>
      <c r="AL6" s="16" t="s">
        <v>70</v>
      </c>
      <c r="AM6" s="16" t="s">
        <v>71</v>
      </c>
      <c r="AN6" s="54" t="s">
        <v>93</v>
      </c>
      <c r="AO6" s="54" t="s">
        <v>94</v>
      </c>
      <c r="AP6" s="11" t="s">
        <v>72</v>
      </c>
      <c r="AQ6" s="17" t="s">
        <v>73</v>
      </c>
    </row>
    <row r="7" spans="2:43" x14ac:dyDescent="0.25">
      <c r="B7" s="2" t="s">
        <v>18</v>
      </c>
      <c r="C7" s="2" t="s">
        <v>127</v>
      </c>
      <c r="D7" s="2" t="s">
        <v>129</v>
      </c>
      <c r="E7" s="2" t="s">
        <v>128</v>
      </c>
      <c r="F7" s="2" t="s">
        <v>81</v>
      </c>
      <c r="G7" s="2">
        <v>77339048</v>
      </c>
      <c r="H7" s="74" t="s">
        <v>6</v>
      </c>
      <c r="I7" s="67">
        <v>333464554603000</v>
      </c>
      <c r="J7" s="3">
        <v>5000000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>
        <v>2250000</v>
      </c>
      <c r="AE7" s="3"/>
      <c r="AF7" s="3"/>
      <c r="AG7" s="3"/>
      <c r="AH7" s="3"/>
      <c r="AI7" s="3"/>
      <c r="AJ7" s="3"/>
      <c r="AK7" s="3"/>
      <c r="AL7" s="3"/>
      <c r="AM7" s="3"/>
      <c r="AN7" s="3"/>
      <c r="AO7" s="55"/>
      <c r="AP7" s="3"/>
      <c r="AQ7" s="3"/>
    </row>
    <row r="8" spans="2:43" x14ac:dyDescent="0.25">
      <c r="B8" s="2" t="s">
        <v>82</v>
      </c>
      <c r="C8" s="2" t="s">
        <v>130</v>
      </c>
      <c r="D8" s="2" t="s">
        <v>131</v>
      </c>
      <c r="E8" s="2" t="s">
        <v>132</v>
      </c>
      <c r="F8" s="2" t="s">
        <v>81</v>
      </c>
      <c r="G8" s="2">
        <v>99303949</v>
      </c>
      <c r="H8" s="74" t="s">
        <v>8</v>
      </c>
      <c r="I8" s="67">
        <v>333464574603000</v>
      </c>
      <c r="J8" s="3">
        <v>6200000</v>
      </c>
      <c r="K8" s="3">
        <v>890000</v>
      </c>
      <c r="L8" s="3">
        <v>300000</v>
      </c>
      <c r="M8" s="3">
        <v>800000</v>
      </c>
      <c r="N8" s="3">
        <v>200000</v>
      </c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>
        <v>350000</v>
      </c>
      <c r="AD8" s="3"/>
      <c r="AE8" s="3"/>
      <c r="AF8" s="3"/>
      <c r="AG8" s="3"/>
      <c r="AH8" s="3"/>
      <c r="AI8" s="3"/>
      <c r="AJ8" s="3"/>
      <c r="AK8" s="3"/>
      <c r="AL8" s="3"/>
      <c r="AM8" s="3"/>
      <c r="AN8" s="3">
        <v>250000</v>
      </c>
      <c r="AO8" s="55" t="s">
        <v>116</v>
      </c>
      <c r="AP8" s="3"/>
      <c r="AQ8" s="3"/>
    </row>
    <row r="9" spans="2:43" x14ac:dyDescent="0.25">
      <c r="B9" s="2" t="s">
        <v>102</v>
      </c>
      <c r="C9" s="2" t="s">
        <v>103</v>
      </c>
      <c r="E9" s="2" t="s">
        <v>133</v>
      </c>
      <c r="F9" s="2" t="s">
        <v>134</v>
      </c>
      <c r="G9" s="2">
        <v>77739399</v>
      </c>
      <c r="H9" s="74" t="s">
        <v>9</v>
      </c>
      <c r="I9" s="67">
        <v>333464554693000</v>
      </c>
      <c r="J9" s="3">
        <v>6000000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>
        <v>750000</v>
      </c>
      <c r="AF9" s="3"/>
      <c r="AG9" s="3"/>
      <c r="AH9" s="3"/>
      <c r="AI9" s="3"/>
      <c r="AJ9" s="3"/>
      <c r="AK9" s="3"/>
      <c r="AL9" s="3"/>
      <c r="AM9" s="3"/>
      <c r="AN9" s="3"/>
      <c r="AO9" s="55"/>
      <c r="AP9" s="3"/>
      <c r="AQ9" s="3"/>
    </row>
    <row r="10" spans="2:43" x14ac:dyDescent="0.25">
      <c r="H10" s="74"/>
      <c r="I10" s="7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55"/>
      <c r="AP10" s="3"/>
      <c r="AQ10" s="3"/>
    </row>
    <row r="11" spans="2:43" x14ac:dyDescent="0.25">
      <c r="H11" s="74"/>
      <c r="I11" s="7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55"/>
      <c r="AP11" s="3"/>
      <c r="AQ11" s="3"/>
    </row>
    <row r="12" spans="2:43" x14ac:dyDescent="0.25">
      <c r="H12" s="74"/>
      <c r="I12" s="7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55"/>
      <c r="AP12" s="3"/>
      <c r="AQ12" s="3"/>
    </row>
    <row r="13" spans="2:43" x14ac:dyDescent="0.25">
      <c r="H13" s="74"/>
      <c r="I13" s="71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55"/>
      <c r="AP13" s="3"/>
      <c r="AQ13" s="3"/>
    </row>
    <row r="14" spans="2:43" x14ac:dyDescent="0.25">
      <c r="H14" s="74"/>
      <c r="I14" s="7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55"/>
      <c r="AP14" s="3"/>
      <c r="AQ14" s="3"/>
    </row>
    <row r="15" spans="2:43" x14ac:dyDescent="0.25">
      <c r="H15" s="74"/>
      <c r="I15" s="7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55"/>
      <c r="AP15" s="3"/>
      <c r="AQ15" s="3"/>
    </row>
    <row r="16" spans="2:43" x14ac:dyDescent="0.25">
      <c r="B16" s="60" t="s">
        <v>100</v>
      </c>
      <c r="C16" s="60">
        <f>COUNTA(tbEMP[NAMA1])</f>
        <v>3</v>
      </c>
      <c r="D16" s="60"/>
      <c r="E16" s="60"/>
      <c r="F16" s="60"/>
      <c r="G16" s="60"/>
      <c r="H16" s="60"/>
      <c r="I16" s="60"/>
      <c r="J16" s="61">
        <f>SUBTOTAL(109,tbEMP[BASE SALARY])</f>
        <v>17200000</v>
      </c>
      <c r="K16" s="61">
        <f>SUBTOTAL(109,tbEMP[JABATAN])</f>
        <v>890000</v>
      </c>
      <c r="L16" s="61">
        <f>SUBTOTAL(109,tbEMP[TRANSPORT])</f>
        <v>300000</v>
      </c>
      <c r="M16" s="61">
        <f>SUBTOTAL(109,tbEMP[KONSUMSI])</f>
        <v>800000</v>
      </c>
      <c r="N16" s="61">
        <f>SUBTOTAL(109,tbEMP[PULSA])</f>
        <v>200000</v>
      </c>
      <c r="O16" s="61"/>
      <c r="P16" s="61">
        <f>SUBTOTAL(109,tbEMP[GAJI POKOK + TUNJ.])</f>
        <v>0</v>
      </c>
      <c r="Q16" s="61">
        <f>SUBTOTAL(109,tbEMP[BPJS])</f>
        <v>0</v>
      </c>
      <c r="R16" s="61">
        <f>SUBTOTAL(109,tbEMP[JKK])</f>
        <v>0</v>
      </c>
      <c r="S16" s="61">
        <f>SUBTOTAL(109,tbEMP[JKM])</f>
        <v>0</v>
      </c>
      <c r="T16" s="61">
        <f>SUBTOTAL(109,tbEMP[JHT])</f>
        <v>0</v>
      </c>
      <c r="U16" s="61">
        <f>SUBTOTAL(109,tbEMP[JP])</f>
        <v>0</v>
      </c>
      <c r="V16" s="61">
        <f>SUBTOTAL(109,tbEMP[IURAN LAINNYA])</f>
        <v>0</v>
      </c>
      <c r="W16" s="61">
        <f>SUBTOTAL(109,tbEMP[[BPJS ]])</f>
        <v>0</v>
      </c>
      <c r="X16" s="61">
        <f>SUBTOTAL(109,tbEMP[[JKM ]])</f>
        <v>0</v>
      </c>
      <c r="Y16" s="61">
        <f>SUBTOTAL(109,tbEMP[[JHT ]])</f>
        <v>0</v>
      </c>
      <c r="Z16" s="61">
        <f>SUBTOTAL(109,tbEMP[[JP ]])</f>
        <v>0</v>
      </c>
      <c r="AA16" s="61">
        <f>SUBTOTAL(109,tbEMP[[IURAN LAINNYA ]])</f>
        <v>0</v>
      </c>
      <c r="AB16" s="61">
        <f>SUBTOTAL(109,tbEMP[BONUS])</f>
        <v>0</v>
      </c>
      <c r="AC16" s="61">
        <f>SUBTOTAL(109,tbEMP[LEMBUR])</f>
        <v>350000</v>
      </c>
      <c r="AD16" s="61">
        <f>SUBTOTAL(109,tbEMP[THR])</f>
        <v>2250000</v>
      </c>
      <c r="AE16" s="61">
        <f>SUBTOTAL(109,tbEMP[TIDAK RUTIN LAINNYA])</f>
        <v>750000</v>
      </c>
      <c r="AF16" s="61">
        <f>SUBTOTAL(109,tbEMP[GAJI BRUTO 
(tax)])</f>
        <v>0</v>
      </c>
      <c r="AG16" s="61">
        <f>SUBTOTAL(109,tbEMP[GAJI BRUTO])</f>
        <v>0</v>
      </c>
      <c r="AH16" s="61">
        <f>SUBTOTAL(109,tbEMP[POT. BPJS])</f>
        <v>0</v>
      </c>
      <c r="AI16" s="61">
        <f>SUBTOTAL(109,tbEMP[POT. JKK])</f>
        <v>0</v>
      </c>
      <c r="AJ16" s="61">
        <f>SUBTOTAL(109,tbEMP[POT. JKM])</f>
        <v>0</v>
      </c>
      <c r="AK16" s="61">
        <f>SUBTOTAL(109,tbEMP[POT. JHT])</f>
        <v>0</v>
      </c>
      <c r="AL16" s="61">
        <f>SUBTOTAL(109,tbEMP[POT. JP])</f>
        <v>0</v>
      </c>
      <c r="AM16" s="61">
        <f>SUBTOTAL(109,tbEMP[POT. IURAN LAINNYA])</f>
        <v>0</v>
      </c>
      <c r="AN16" s="61">
        <f>SUBTOTAL(109,tbEMP[POTONGAN LAIN])</f>
        <v>250000</v>
      </c>
      <c r="AO16" s="61">
        <f>SUBTOTAL(109,tbEMP[REMARKS])</f>
        <v>0</v>
      </c>
      <c r="AP16" s="61">
        <f>SUBTOTAL(109,tbEMP[PPH 21])</f>
        <v>0</v>
      </c>
      <c r="AQ16" s="61">
        <f>SUBTOTAL(109,tbEMP[TAKE HOME PAY])</f>
        <v>0</v>
      </c>
    </row>
  </sheetData>
  <mergeCells count="6">
    <mergeCell ref="AN5:AO5"/>
    <mergeCell ref="K5:N5"/>
    <mergeCell ref="Q5:V5"/>
    <mergeCell ref="W5:AA5"/>
    <mergeCell ref="AB5:AE5"/>
    <mergeCell ref="AH5:AM5"/>
  </mergeCells>
  <dataValidations count="1">
    <dataValidation type="list" allowBlank="1" showInputMessage="1" showErrorMessage="1" sqref="H7:H15">
      <formula1>Status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391A05"/>
  </sheetPr>
  <dimension ref="A1:S13"/>
  <sheetViews>
    <sheetView showGridLines="0" zoomScaleNormal="100" workbookViewId="0">
      <pane xSplit="3" ySplit="6" topLeftCell="D7" activePane="bottomRight" state="frozen"/>
      <selection activeCell="C30" sqref="C30"/>
      <selection pane="topRight" activeCell="C30" sqref="C30"/>
      <selection pane="bottomLeft" activeCell="C30" sqref="C30"/>
      <selection pane="bottomRight" activeCell="C7" sqref="C7"/>
    </sheetView>
  </sheetViews>
  <sheetFormatPr defaultColWidth="0" defaultRowHeight="15" x14ac:dyDescent="0.25"/>
  <cols>
    <col min="1" max="1" width="0.5" style="2" customWidth="1"/>
    <col min="2" max="2" width="9.75" style="2" customWidth="1"/>
    <col min="3" max="3" width="22.625" style="2" customWidth="1"/>
    <col min="4" max="4" width="9" style="2" customWidth="1"/>
    <col min="5" max="5" width="16.5" style="2" customWidth="1"/>
    <col min="6" max="6" width="14.25" style="2" bestFit="1" customWidth="1"/>
    <col min="7" max="7" width="11.75" style="2" customWidth="1"/>
    <col min="8" max="9" width="9.625" style="2" customWidth="1"/>
    <col min="10" max="10" width="11.75" style="2" bestFit="1" customWidth="1"/>
    <col min="11" max="11" width="13" style="2" customWidth="1"/>
    <col min="12" max="14" width="11.75" style="2" customWidth="1"/>
    <col min="15" max="15" width="11.25" style="2" customWidth="1"/>
    <col min="16" max="16" width="9.625" style="2" bestFit="1" customWidth="1"/>
    <col min="17" max="17" width="10.25" style="2" customWidth="1"/>
    <col min="18" max="18" width="11" style="2" bestFit="1" customWidth="1"/>
    <col min="19" max="19" width="0.875" style="2" customWidth="1"/>
    <col min="20" max="16384" width="9" style="2" hidden="1"/>
  </cols>
  <sheetData>
    <row r="1" spans="2:18" s="5" customFormat="1" ht="18.75" x14ac:dyDescent="0.25">
      <c r="B1" s="94" t="str">
        <f>infoCompanyName</f>
        <v>SimAcc2 - Employee Salary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</row>
    <row r="2" spans="2:18" s="5" customFormat="1" x14ac:dyDescent="0.25">
      <c r="B2" s="96" t="str">
        <f>infoCompAddr</f>
        <v>mycompany address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</row>
    <row r="3" spans="2:18" s="5" customFormat="1" ht="23.25" x14ac:dyDescent="0.25">
      <c r="B3" s="97" t="s">
        <v>77</v>
      </c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</row>
    <row r="4" spans="2:18" s="5" customFormat="1" x14ac:dyDescent="0.25">
      <c r="B4" s="96" t="str">
        <f ca="1">TEXT(infoPeriod,"D MMM YYYY")</f>
        <v>14 Nov 2020</v>
      </c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</row>
    <row r="5" spans="2:18" s="5" customFormat="1" ht="3" customHeight="1" x14ac:dyDescent="0.25">
      <c r="G5" s="18"/>
      <c r="H5" s="18"/>
      <c r="I5" s="18"/>
    </row>
    <row r="6" spans="2:18" ht="25.5" x14ac:dyDescent="0.25">
      <c r="B6" s="9" t="s">
        <v>0</v>
      </c>
      <c r="C6" s="9" t="s">
        <v>51</v>
      </c>
      <c r="D6" s="9" t="s">
        <v>4</v>
      </c>
      <c r="E6" s="9" t="s">
        <v>11</v>
      </c>
      <c r="F6" s="9" t="s">
        <v>151</v>
      </c>
      <c r="G6" s="9" t="s">
        <v>52</v>
      </c>
      <c r="H6" s="9" t="s">
        <v>57</v>
      </c>
      <c r="I6" s="4" t="s">
        <v>60</v>
      </c>
      <c r="J6" s="9" t="s">
        <v>104</v>
      </c>
      <c r="K6" s="9" t="s">
        <v>105</v>
      </c>
      <c r="L6" s="9" t="s">
        <v>5</v>
      </c>
      <c r="M6" s="9" t="s">
        <v>106</v>
      </c>
      <c r="N6" s="9" t="s">
        <v>107</v>
      </c>
      <c r="O6" s="62" t="s">
        <v>109</v>
      </c>
      <c r="P6" s="11" t="s">
        <v>63</v>
      </c>
      <c r="Q6" s="9" t="s">
        <v>108</v>
      </c>
      <c r="R6" s="11" t="s">
        <v>64</v>
      </c>
    </row>
    <row r="7" spans="2:18" x14ac:dyDescent="0.25">
      <c r="D7" s="74"/>
      <c r="E7" s="68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2:18" x14ac:dyDescent="0.25">
      <c r="D8" s="74"/>
      <c r="E8" s="6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2:18" x14ac:dyDescent="0.25">
      <c r="D9" s="75"/>
      <c r="E9" s="69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2:18" x14ac:dyDescent="0.25">
      <c r="B10" s="63"/>
      <c r="D10" s="75"/>
      <c r="E10" s="69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2:18" x14ac:dyDescent="0.25">
      <c r="B11" s="63"/>
      <c r="D11" s="75"/>
      <c r="E11" s="69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2:18" x14ac:dyDescent="0.25">
      <c r="B12" s="63"/>
      <c r="D12" s="75"/>
      <c r="E12" s="69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2:18" x14ac:dyDescent="0.25">
      <c r="B13" s="2" t="s">
        <v>100</v>
      </c>
      <c r="C13" s="59"/>
      <c r="D13" s="59"/>
      <c r="E13" s="59"/>
      <c r="F13" s="70">
        <f>SUBTOTAL(109,tbTAX[GAJI BRUTO (tax)])</f>
        <v>0</v>
      </c>
      <c r="G13" s="70">
        <f>SUBTOTAL(109,tbTAX[BIAYA JABATAN])</f>
        <v>0</v>
      </c>
      <c r="H13" s="70">
        <f>SUBTOTAL(109,tbTAX[BIAYA PENSIUN])</f>
        <v>0</v>
      </c>
      <c r="I13" s="70">
        <f>SUBTOTAL(109,tbTAX[IURAN DI BYR KARYAWAN])</f>
        <v>0</v>
      </c>
      <c r="J13" s="70">
        <f>SUBTOTAL(109,tbTAX[PENGH. NETO SEBULAN])</f>
        <v>0</v>
      </c>
      <c r="K13" s="70">
        <f>SUBTOTAL(109,tbTAX[PENGH. NETO SETAHUN])</f>
        <v>0</v>
      </c>
      <c r="L13" s="70">
        <f>SUBTOTAL(109,tbTAX[PTKP])</f>
        <v>0</v>
      </c>
      <c r="M13" s="70">
        <f>SUBTOTAL(109,tbTAX[PKP SETAHUN])</f>
        <v>0</v>
      </c>
      <c r="N13" s="70">
        <f>SUBTOTAL(109,tbTAX[PEMBULATAN])</f>
        <v>0</v>
      </c>
      <c r="O13" s="70">
        <f>SUBTOTAL(109,tbTAX[PPH 21 SBLM. PENALTY])</f>
        <v>0</v>
      </c>
      <c r="P13" s="70">
        <f>SUBTOTAL(109,tbTAX[Penalty NPWP])</f>
        <v>0</v>
      </c>
      <c r="Q13" s="70">
        <f>SUBTOTAL(109,tbTAX[PPH 21 TERUTANG])</f>
        <v>0</v>
      </c>
      <c r="R13" s="70">
        <f>SUBTOTAL(109,tbTAX[PPH 21 SEBULAN])</f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8" sqref="C8"/>
    </sheetView>
  </sheetViews>
  <sheetFormatPr defaultColWidth="0" defaultRowHeight="15" x14ac:dyDescent="0.25"/>
  <cols>
    <col min="1" max="1" width="0.5" style="2" customWidth="1"/>
    <col min="2" max="2" width="10.25" style="2" customWidth="1"/>
    <col min="3" max="3" width="19.875" style="2" customWidth="1"/>
    <col min="4" max="4" width="35.375" style="2" customWidth="1"/>
    <col min="5" max="5" width="8.75" style="2" bestFit="1" customWidth="1"/>
    <col min="6" max="6" width="13.125" style="2" customWidth="1"/>
    <col min="7" max="7" width="14" style="2" customWidth="1"/>
    <col min="8" max="8" width="0.5" style="2" customWidth="1"/>
    <col min="9" max="16384" width="9" style="2" hidden="1"/>
  </cols>
  <sheetData>
    <row r="1" spans="2:7" s="5" customFormat="1" ht="18.75" x14ac:dyDescent="0.25">
      <c r="B1" s="19" t="str">
        <f>infoCompanyName</f>
        <v>SimAcc2 - Employee Salary</v>
      </c>
      <c r="E1" s="5" t="s">
        <v>111</v>
      </c>
      <c r="F1" s="5" t="s">
        <v>112</v>
      </c>
    </row>
    <row r="2" spans="2:7" s="5" customFormat="1" x14ac:dyDescent="0.25">
      <c r="B2" s="20" t="str">
        <f>infoCompAddr</f>
        <v>mycompany address</v>
      </c>
    </row>
    <row r="3" spans="2:7" s="5" customFormat="1" ht="23.25" x14ac:dyDescent="0.25">
      <c r="B3" s="21" t="s">
        <v>97</v>
      </c>
    </row>
    <row r="4" spans="2:7" s="5" customFormat="1" x14ac:dyDescent="0.25">
      <c r="B4" s="20" t="str">
        <f ca="1">TEXT(infoPeriod,"D MMM YYYY")</f>
        <v>14 Nov 2020</v>
      </c>
    </row>
    <row r="5" spans="2:7" s="5" customFormat="1" ht="4.5" customHeight="1" x14ac:dyDescent="0.25"/>
    <row r="6" spans="2:7" x14ac:dyDescent="0.25">
      <c r="B6" s="9" t="s">
        <v>0</v>
      </c>
      <c r="C6" s="9" t="s">
        <v>51</v>
      </c>
      <c r="D6" s="9" t="s">
        <v>101</v>
      </c>
      <c r="E6" s="11" t="s">
        <v>79</v>
      </c>
      <c r="F6" s="11" t="s">
        <v>98</v>
      </c>
      <c r="G6" s="11" t="s">
        <v>99</v>
      </c>
    </row>
    <row r="7" spans="2:7" ht="75" x14ac:dyDescent="0.25">
      <c r="B7" s="108" t="s">
        <v>156</v>
      </c>
      <c r="C7" s="108" t="s">
        <v>155</v>
      </c>
      <c r="D7" s="107" t="s">
        <v>154</v>
      </c>
      <c r="E7" s="109" t="s">
        <v>157</v>
      </c>
      <c r="F7" s="108" t="s">
        <v>158</v>
      </c>
      <c r="G7" s="110" t="s">
        <v>159</v>
      </c>
    </row>
    <row r="8" spans="2:7" x14ac:dyDescent="0.25">
      <c r="D8" s="59"/>
      <c r="E8" s="74"/>
      <c r="G8" s="3"/>
    </row>
    <row r="9" spans="2:7" x14ac:dyDescent="0.25">
      <c r="D9" s="64"/>
      <c r="E9" s="75"/>
      <c r="F9" s="63"/>
      <c r="G9" s="3"/>
    </row>
    <row r="10" spans="2:7" x14ac:dyDescent="0.25">
      <c r="B10" s="72" t="s">
        <v>100</v>
      </c>
      <c r="C10" s="72"/>
      <c r="D10" s="72"/>
      <c r="E10" s="72"/>
      <c r="F10" s="72"/>
      <c r="G10" s="73">
        <f>SUBTOTAL(109,tbBANK[JUMLAH])</f>
        <v>0</v>
      </c>
    </row>
  </sheetData>
  <pageMargins left="0.2" right="0.2" top="0.25" bottom="0.25" header="0" footer="0"/>
  <pageSetup paperSize="5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Var">
    <tabColor rgb="FFEC7A2C"/>
  </sheetPr>
  <dimension ref="B2:O14"/>
  <sheetViews>
    <sheetView showGridLines="0" zoomScaleNormal="100" workbookViewId="0">
      <selection activeCell="I18" sqref="I18"/>
    </sheetView>
  </sheetViews>
  <sheetFormatPr defaultRowHeight="15" x14ac:dyDescent="0.25"/>
  <cols>
    <col min="1" max="1" width="1.125" customWidth="1"/>
    <col min="2" max="2" width="9.75" bestFit="1" customWidth="1"/>
    <col min="3" max="3" width="10.125" bestFit="1" customWidth="1"/>
    <col min="4" max="4" width="11.125" bestFit="1" customWidth="1"/>
    <col min="5" max="5" width="1.125" customWidth="1"/>
    <col min="6" max="6" width="12" bestFit="1" customWidth="1"/>
    <col min="7" max="7" width="11.5" customWidth="1"/>
    <col min="8" max="8" width="1.125" customWidth="1"/>
    <col min="9" max="9" width="25.125" customWidth="1"/>
    <col min="10" max="10" width="8.375" bestFit="1" customWidth="1"/>
    <col min="11" max="11" width="14.75" bestFit="1" customWidth="1"/>
    <col min="12" max="12" width="11.125" bestFit="1" customWidth="1"/>
    <col min="13" max="13" width="9.625" customWidth="1"/>
    <col min="14" max="14" width="14.25" customWidth="1"/>
    <col min="15" max="15" width="12.5" customWidth="1"/>
  </cols>
  <sheetData>
    <row r="2" spans="2:15" x14ac:dyDescent="0.25">
      <c r="B2" s="65" t="s">
        <v>5</v>
      </c>
      <c r="F2" s="65" t="s">
        <v>113</v>
      </c>
      <c r="I2" s="65" t="s">
        <v>114</v>
      </c>
    </row>
    <row r="3" spans="2:15" s="4" customFormat="1" ht="12" x14ac:dyDescent="0.25">
      <c r="B3" s="4" t="s">
        <v>4</v>
      </c>
      <c r="C3" s="4" t="s">
        <v>61</v>
      </c>
      <c r="D3" s="4" t="s">
        <v>62</v>
      </c>
      <c r="F3" s="4" t="s">
        <v>28</v>
      </c>
      <c r="G3" s="4" t="s">
        <v>27</v>
      </c>
      <c r="I3" s="4" t="s">
        <v>33</v>
      </c>
      <c r="J3" s="4" t="s">
        <v>36</v>
      </c>
      <c r="K3" s="4" t="s">
        <v>34</v>
      </c>
      <c r="L3" s="4" t="s">
        <v>35</v>
      </c>
      <c r="M3" s="4" t="s">
        <v>28</v>
      </c>
      <c r="N3" s="4" t="s">
        <v>41</v>
      </c>
      <c r="O3" s="4" t="s">
        <v>42</v>
      </c>
    </row>
    <row r="4" spans="2:15" x14ac:dyDescent="0.25">
      <c r="B4" t="s">
        <v>6</v>
      </c>
      <c r="C4" s="1">
        <f>varPTKP[[#This Row],[YEAR]]/12</f>
        <v>4500000</v>
      </c>
      <c r="D4" s="1">
        <v>54000000</v>
      </c>
      <c r="F4">
        <v>1</v>
      </c>
      <c r="G4" s="7">
        <v>2.3999999999999998E-3</v>
      </c>
      <c r="I4" t="s">
        <v>30</v>
      </c>
      <c r="J4" t="s">
        <v>29</v>
      </c>
      <c r="K4" s="7">
        <v>3.0000000000000001E-3</v>
      </c>
      <c r="L4" s="7">
        <v>0</v>
      </c>
      <c r="M4" s="10"/>
      <c r="N4" s="1">
        <v>3500000</v>
      </c>
      <c r="O4" s="1">
        <v>8000000</v>
      </c>
    </row>
    <row r="5" spans="2:15" x14ac:dyDescent="0.25">
      <c r="B5" t="s">
        <v>7</v>
      </c>
      <c r="C5" s="1">
        <f>varPTKP[[#This Row],[YEAR]]/12</f>
        <v>4866666.666666667</v>
      </c>
      <c r="D5" s="1">
        <v>58400000</v>
      </c>
      <c r="F5">
        <v>2</v>
      </c>
      <c r="G5" s="7">
        <v>5.4000000000000003E-3</v>
      </c>
      <c r="I5" t="s">
        <v>37</v>
      </c>
      <c r="J5" t="s">
        <v>31</v>
      </c>
      <c r="K5" s="7">
        <v>3.6999999999999998E-2</v>
      </c>
      <c r="L5" s="7">
        <v>0.02</v>
      </c>
      <c r="M5" s="10"/>
      <c r="N5" s="1">
        <v>3500000</v>
      </c>
      <c r="O5" s="1">
        <v>8000000</v>
      </c>
    </row>
    <row r="6" spans="2:15" x14ac:dyDescent="0.25">
      <c r="B6" t="s">
        <v>8</v>
      </c>
      <c r="C6" s="1">
        <f>varPTKP[[#This Row],[YEAR]]/12</f>
        <v>5250000</v>
      </c>
      <c r="D6" s="1">
        <v>63000000</v>
      </c>
      <c r="F6">
        <v>3</v>
      </c>
      <c r="G6" s="7">
        <v>8.8999999999999999E-3</v>
      </c>
      <c r="I6" t="s">
        <v>38</v>
      </c>
      <c r="J6" t="s">
        <v>32</v>
      </c>
      <c r="K6" s="7">
        <v>0.02</v>
      </c>
      <c r="L6" s="7">
        <v>0.01</v>
      </c>
      <c r="M6" s="10"/>
      <c r="N6" s="1">
        <v>3500000</v>
      </c>
      <c r="O6" s="1">
        <v>8000000</v>
      </c>
    </row>
    <row r="7" spans="2:15" x14ac:dyDescent="0.25">
      <c r="B7" t="s">
        <v>9</v>
      </c>
      <c r="C7" s="1">
        <f>varPTKP[[#This Row],[YEAR]]/12</f>
        <v>5625000</v>
      </c>
      <c r="D7" s="1">
        <v>67500000</v>
      </c>
      <c r="F7">
        <v>4</v>
      </c>
      <c r="G7" s="7">
        <v>1.2699999999999999E-2</v>
      </c>
      <c r="I7" t="s">
        <v>39</v>
      </c>
      <c r="J7" t="s">
        <v>24</v>
      </c>
      <c r="K7" s="7">
        <v>0.04</v>
      </c>
      <c r="L7" s="7">
        <v>0.01</v>
      </c>
      <c r="M7" s="10"/>
      <c r="N7" s="1">
        <v>3500000</v>
      </c>
      <c r="O7" s="1">
        <v>8000000</v>
      </c>
    </row>
    <row r="8" spans="2:15" x14ac:dyDescent="0.25">
      <c r="B8" t="s">
        <v>10</v>
      </c>
      <c r="C8" s="1">
        <f>varPTKP[[#This Row],[YEAR]]/12</f>
        <v>6000000</v>
      </c>
      <c r="D8" s="1">
        <v>72000000</v>
      </c>
      <c r="F8">
        <v>5</v>
      </c>
      <c r="G8" s="7">
        <v>1.7399999999999999E-2</v>
      </c>
      <c r="I8" t="s">
        <v>40</v>
      </c>
      <c r="J8" t="s">
        <v>25</v>
      </c>
      <c r="K8" s="7"/>
      <c r="L8" s="7"/>
      <c r="M8" s="10">
        <v>1</v>
      </c>
      <c r="N8" s="1">
        <v>3500000</v>
      </c>
      <c r="O8" s="1">
        <v>8000000</v>
      </c>
    </row>
    <row r="10" spans="2:15" x14ac:dyDescent="0.25">
      <c r="C10" s="66"/>
    </row>
    <row r="11" spans="2:15" x14ac:dyDescent="0.25">
      <c r="I11" t="s">
        <v>53</v>
      </c>
    </row>
    <row r="12" spans="2:15" x14ac:dyDescent="0.25">
      <c r="I12" t="s">
        <v>54</v>
      </c>
      <c r="J12" t="s">
        <v>36</v>
      </c>
      <c r="K12" t="s">
        <v>55</v>
      </c>
      <c r="L12" t="s">
        <v>41</v>
      </c>
      <c r="M12" t="s">
        <v>42</v>
      </c>
    </row>
    <row r="13" spans="2:15" x14ac:dyDescent="0.25">
      <c r="I13" t="s">
        <v>52</v>
      </c>
      <c r="J13" t="s">
        <v>56</v>
      </c>
      <c r="K13" s="8">
        <v>0.05</v>
      </c>
      <c r="L13" s="1"/>
      <c r="M13" s="1">
        <v>500000</v>
      </c>
    </row>
    <row r="14" spans="2:15" x14ac:dyDescent="0.25">
      <c r="I14" t="s">
        <v>57</v>
      </c>
      <c r="J14" t="s">
        <v>58</v>
      </c>
      <c r="K14" s="8">
        <v>0.05</v>
      </c>
      <c r="L14" s="1"/>
      <c r="M14" s="1">
        <v>200000</v>
      </c>
    </row>
  </sheetData>
  <pageMargins left="0.7" right="0.7" top="0.75" bottom="0.75" header="0.3" footer="0.3"/>
  <pageSetup orientation="portrait" horizontalDpi="0" verticalDpi="0" r:id="rId1"/>
  <legacy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-0.499984740745262"/>
  </sheetPr>
  <dimension ref="A1:M4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6" sqref="C6"/>
    </sheetView>
  </sheetViews>
  <sheetFormatPr defaultColWidth="0" defaultRowHeight="15" x14ac:dyDescent="0.25"/>
  <cols>
    <col min="1" max="1" width="0.5" customWidth="1"/>
    <col min="2" max="2" width="22" customWidth="1"/>
    <col min="3" max="5" width="13" customWidth="1"/>
    <col min="6" max="6" width="14.125" customWidth="1"/>
    <col min="7" max="7" width="1.875" customWidth="1"/>
    <col min="8" max="8" width="22" customWidth="1"/>
    <col min="9" max="11" width="13" customWidth="1"/>
    <col min="12" max="12" width="14.125" customWidth="1"/>
    <col min="13" max="13" width="0.625" customWidth="1"/>
    <col min="14" max="16384" width="9" hidden="1"/>
  </cols>
  <sheetData>
    <row r="1" spans="2:12" ht="2.25" customHeight="1" x14ac:dyDescent="0.25"/>
    <row r="2" spans="2:12" ht="18.75" x14ac:dyDescent="0.3">
      <c r="B2" s="104" t="str">
        <f>infoCompanyName</f>
        <v>SimAcc2 - Employee Salary</v>
      </c>
      <c r="C2" s="104"/>
      <c r="D2" s="104"/>
      <c r="E2" s="104"/>
      <c r="F2" s="104"/>
      <c r="H2" s="104" t="str">
        <f>infoCompanyName</f>
        <v>SimAcc2 - Employee Salary</v>
      </c>
      <c r="I2" s="104"/>
      <c r="J2" s="104"/>
      <c r="K2" s="104"/>
      <c r="L2" s="104"/>
    </row>
    <row r="3" spans="2:12" ht="18.75" x14ac:dyDescent="0.3">
      <c r="B3" s="104" t="s">
        <v>89</v>
      </c>
      <c r="C3" s="104"/>
      <c r="D3" s="104"/>
      <c r="E3" s="104"/>
      <c r="F3" s="104"/>
      <c r="H3" s="104" t="s">
        <v>89</v>
      </c>
      <c r="I3" s="104"/>
      <c r="J3" s="104"/>
      <c r="K3" s="104"/>
      <c r="L3" s="104"/>
    </row>
    <row r="4" spans="2:12" ht="15.75" x14ac:dyDescent="0.25">
      <c r="B4" s="105" t="str">
        <f ca="1">"Period "&amp;TEXT(infoPeriod,"d mmm yyyy")</f>
        <v>Period 14 Nov 2020</v>
      </c>
      <c r="C4" s="105"/>
      <c r="D4" s="105"/>
      <c r="E4" s="105"/>
      <c r="F4" s="105"/>
      <c r="H4" s="105" t="str">
        <f ca="1">"Period "&amp;TEXT(infoPeriod,"d mmm yyyy")</f>
        <v>Period 14 Nov 2020</v>
      </c>
      <c r="I4" s="105"/>
      <c r="J4" s="105"/>
      <c r="K4" s="105"/>
      <c r="L4" s="105"/>
    </row>
    <row r="5" spans="2:12" x14ac:dyDescent="0.25">
      <c r="B5" t="s">
        <v>90</v>
      </c>
      <c r="C5" t="s">
        <v>18</v>
      </c>
      <c r="H5" t="s">
        <v>90</v>
      </c>
      <c r="I5" t="s">
        <v>82</v>
      </c>
    </row>
    <row r="6" spans="2:12" x14ac:dyDescent="0.25">
      <c r="B6" t="s">
        <v>91</v>
      </c>
      <c r="C6" t="e">
        <f>VLOOKUP(C5,tbTAX[],2,FALSE)</f>
        <v>#N/A</v>
      </c>
      <c r="H6" t="s">
        <v>91</v>
      </c>
      <c r="I6" t="e">
        <f>VLOOKUP(I5,tbTAX[],2,FALSE)</f>
        <v>#N/A</v>
      </c>
    </row>
    <row r="7" spans="2:12" ht="4.5" customHeight="1" x14ac:dyDescent="0.25"/>
    <row r="8" spans="2:12" x14ac:dyDescent="0.25">
      <c r="B8" s="33" t="s">
        <v>12</v>
      </c>
      <c r="C8" s="33"/>
      <c r="D8" s="34">
        <f>SUMIF(tbEMP[ID KARY.],C5,tbEMP[BASE SALARY])</f>
        <v>5000000</v>
      </c>
      <c r="E8" s="24"/>
      <c r="H8" s="33" t="s">
        <v>12</v>
      </c>
      <c r="I8" s="33"/>
      <c r="J8" s="34">
        <f>SUMIF(tbEMP[ID KARY.],I5,tbEMP[BASE SALARY])</f>
        <v>6200000</v>
      </c>
      <c r="K8" s="24"/>
    </row>
    <row r="9" spans="2:12" x14ac:dyDescent="0.25">
      <c r="B9" s="25" t="s">
        <v>117</v>
      </c>
      <c r="C9" s="26">
        <f>SUMIF(tbEMP[ID KARY.],C5,tbEMP[JABATAN])</f>
        <v>0</v>
      </c>
      <c r="D9" s="53"/>
      <c r="E9" s="24"/>
      <c r="H9" s="25" t="s">
        <v>117</v>
      </c>
      <c r="I9" s="26">
        <f>SUMIF(tbEMP[ID KARY.],I5,tbEMP[JABATAN])</f>
        <v>890000</v>
      </c>
      <c r="J9" s="53"/>
      <c r="K9" s="24"/>
    </row>
    <row r="10" spans="2:12" x14ac:dyDescent="0.25">
      <c r="B10" s="25" t="s">
        <v>118</v>
      </c>
      <c r="C10" s="26">
        <f>SUMIF(tbEMP[ID KARY.],C5,tbEMP[TRANSPORT])</f>
        <v>0</v>
      </c>
      <c r="D10" s="53"/>
      <c r="E10" s="24"/>
      <c r="H10" s="25" t="s">
        <v>118</v>
      </c>
      <c r="I10" s="26">
        <f>SUMIF(tbEMP[ID KARY.],I5,tbEMP[TRANSPORT])</f>
        <v>300000</v>
      </c>
      <c r="J10" s="53"/>
      <c r="K10" s="24"/>
    </row>
    <row r="11" spans="2:12" x14ac:dyDescent="0.25">
      <c r="B11" s="25" t="s">
        <v>119</v>
      </c>
      <c r="C11" s="26">
        <f>SUMIF(tbEMP[ID KARY.],C5,tbEMP[KONSUMSI])</f>
        <v>0</v>
      </c>
      <c r="D11" s="53"/>
      <c r="E11" s="24"/>
      <c r="H11" s="25" t="s">
        <v>119</v>
      </c>
      <c r="I11" s="26">
        <f>SUMIF(tbEMP[ID KARY.],I5,tbEMP[KONSUMSI])</f>
        <v>800000</v>
      </c>
      <c r="J11" s="53"/>
      <c r="K11" s="24"/>
    </row>
    <row r="12" spans="2:12" x14ac:dyDescent="0.25">
      <c r="B12" s="25" t="s">
        <v>120</v>
      </c>
      <c r="C12" s="26">
        <f>SUMIF(tbEMP[ID KARY.],C5,tbEMP[PULSA])</f>
        <v>0</v>
      </c>
      <c r="D12" s="53"/>
      <c r="E12" s="24"/>
      <c r="H12" s="25" t="s">
        <v>120</v>
      </c>
      <c r="I12" s="26">
        <f>SUMIF(tbEMP[ID KARY.],I5,tbEMP[PULSA])</f>
        <v>200000</v>
      </c>
      <c r="J12" s="53"/>
      <c r="K12" s="24"/>
    </row>
    <row r="13" spans="2:12" x14ac:dyDescent="0.25">
      <c r="B13" s="33" t="s">
        <v>92</v>
      </c>
      <c r="C13" s="33"/>
      <c r="D13" s="35">
        <f>SUM(C9:C12)</f>
        <v>0</v>
      </c>
      <c r="E13" s="24"/>
      <c r="H13" s="33" t="s">
        <v>92</v>
      </c>
      <c r="I13" s="33"/>
      <c r="J13" s="35">
        <f>SUM(I9:I12)</f>
        <v>2190000</v>
      </c>
      <c r="K13" s="24"/>
    </row>
    <row r="14" spans="2:12" x14ac:dyDescent="0.25">
      <c r="B14" s="33" t="s">
        <v>83</v>
      </c>
      <c r="C14" s="33"/>
      <c r="D14" s="33"/>
      <c r="E14" s="35">
        <f>SUM(D8:D13)</f>
        <v>5000000</v>
      </c>
      <c r="H14" s="33" t="s">
        <v>83</v>
      </c>
      <c r="I14" s="33"/>
      <c r="J14" s="33"/>
      <c r="K14" s="35">
        <f>SUM(J8:J13)</f>
        <v>8390000</v>
      </c>
    </row>
    <row r="15" spans="2:12" x14ac:dyDescent="0.25">
      <c r="B15" s="25" t="s">
        <v>121</v>
      </c>
      <c r="C15" s="26">
        <f>SUMIF(tbEMP[ID KARY.],C5,tbEMP[BPJS])</f>
        <v>0</v>
      </c>
      <c r="D15" s="53"/>
      <c r="E15" s="24"/>
      <c r="H15" s="25" t="s">
        <v>121</v>
      </c>
      <c r="I15" s="26">
        <f>SUMIF(tbEMP[ID KARY.],I5,tbEMP[BPJS])</f>
        <v>0</v>
      </c>
      <c r="J15" s="53"/>
      <c r="K15" s="24"/>
    </row>
    <row r="16" spans="2:12" x14ac:dyDescent="0.25">
      <c r="B16" s="25" t="s">
        <v>122</v>
      </c>
      <c r="C16" s="26">
        <f>SUMIF(tbEMP[ID KARY.],C5,tbEMP[JKK])</f>
        <v>0</v>
      </c>
      <c r="D16" s="53"/>
      <c r="E16" s="24"/>
      <c r="H16" s="25" t="s">
        <v>122</v>
      </c>
      <c r="I16" s="26">
        <f>SUMIF(tbEMP[ID KARY.],I5,tbEMP[JKK])</f>
        <v>0</v>
      </c>
      <c r="J16" s="53"/>
      <c r="K16" s="24"/>
    </row>
    <row r="17" spans="2:12" x14ac:dyDescent="0.25">
      <c r="B17" s="25" t="s">
        <v>123</v>
      </c>
      <c r="C17" s="26">
        <f>SUMIF(tbEMP[ID KARY.],C5,tbEMP[JKM])</f>
        <v>0</v>
      </c>
      <c r="D17" s="53"/>
      <c r="E17" s="24"/>
      <c r="H17" s="25" t="s">
        <v>123</v>
      </c>
      <c r="I17" s="26">
        <f>SUMIF(tbEMP[ID KARY.],I5,tbEMP[JKM])</f>
        <v>0</v>
      </c>
      <c r="J17" s="53"/>
      <c r="K17" s="24"/>
    </row>
    <row r="18" spans="2:12" x14ac:dyDescent="0.25">
      <c r="B18" s="25" t="s">
        <v>124</v>
      </c>
      <c r="C18" s="26">
        <f>SUMIF(tbEMP[ID KARY.],C5,tbEMP[JHT])</f>
        <v>0</v>
      </c>
      <c r="D18" s="53"/>
      <c r="E18" s="24"/>
      <c r="H18" s="25" t="s">
        <v>124</v>
      </c>
      <c r="I18" s="26">
        <f>SUMIF(tbEMP[ID KARY.],I5,tbEMP[JHT])</f>
        <v>0</v>
      </c>
      <c r="J18" s="53"/>
      <c r="K18" s="24"/>
    </row>
    <row r="19" spans="2:12" x14ac:dyDescent="0.25">
      <c r="B19" s="25" t="s">
        <v>125</v>
      </c>
      <c r="C19" s="26">
        <f>SUMIF(tbEMP[ID KARY.],C5,tbEMP[JP])</f>
        <v>0</v>
      </c>
      <c r="D19" s="53"/>
      <c r="E19" s="24"/>
      <c r="H19" s="25" t="s">
        <v>125</v>
      </c>
      <c r="I19" s="26">
        <f>SUMIF(tbEMP[ID KARY.],I5,tbEMP[JP])</f>
        <v>0</v>
      </c>
      <c r="J19" s="53"/>
      <c r="K19" s="24"/>
    </row>
    <row r="20" spans="2:12" x14ac:dyDescent="0.25">
      <c r="B20" s="25" t="s">
        <v>126</v>
      </c>
      <c r="C20" s="28">
        <f>SUMIF(tbEMP[ID KARY.],C5,tbEMP[IURAN LAINNYA])</f>
        <v>0</v>
      </c>
      <c r="D20" s="53"/>
      <c r="E20" s="24"/>
      <c r="H20" s="25" t="s">
        <v>126</v>
      </c>
      <c r="I20" s="28">
        <f>SUMIF(tbEMP[ID KARY.],I5,tbEMP[IURAN LAINNYA])</f>
        <v>0</v>
      </c>
      <c r="J20" s="53"/>
      <c r="K20" s="24"/>
    </row>
    <row r="21" spans="2:12" x14ac:dyDescent="0.25">
      <c r="B21" s="33" t="s">
        <v>84</v>
      </c>
      <c r="C21" s="36"/>
      <c r="D21" s="36"/>
      <c r="E21" s="35">
        <f>SUM(C15:C20)</f>
        <v>0</v>
      </c>
      <c r="H21" s="33" t="s">
        <v>84</v>
      </c>
      <c r="I21" s="36"/>
      <c r="J21" s="36"/>
      <c r="K21" s="35">
        <f>SUM(I15:I20)</f>
        <v>0</v>
      </c>
    </row>
    <row r="22" spans="2:12" x14ac:dyDescent="0.25">
      <c r="B22" s="25" t="s">
        <v>20</v>
      </c>
      <c r="C22" s="26">
        <f>SUMIF(tbEMP[ID KARY.],C5,tbEMP[BONUS])</f>
        <v>0</v>
      </c>
      <c r="D22" s="53"/>
      <c r="E22" s="24"/>
      <c r="H22" s="25" t="s">
        <v>20</v>
      </c>
      <c r="I22" s="26">
        <f>SUMIF(tbEMP[ID KARY.],I5,tbEMP[BONUS])</f>
        <v>0</v>
      </c>
      <c r="J22" s="53"/>
      <c r="K22" s="24"/>
    </row>
    <row r="23" spans="2:12" x14ac:dyDescent="0.25">
      <c r="B23" s="25" t="s">
        <v>22</v>
      </c>
      <c r="C23" s="26">
        <f>SUMIF(tbEMP[ID KARY.],C5,tbEMP[LEMBUR])</f>
        <v>0</v>
      </c>
      <c r="D23" s="53"/>
      <c r="E23" s="24"/>
      <c r="H23" s="25" t="s">
        <v>22</v>
      </c>
      <c r="I23" s="26">
        <f>SUMIF(tbEMP[ID KARY.],I5,tbEMP[LEMBUR])</f>
        <v>350000</v>
      </c>
      <c r="J23" s="53"/>
      <c r="K23" s="24"/>
    </row>
    <row r="24" spans="2:12" x14ac:dyDescent="0.25">
      <c r="B24" s="25" t="s">
        <v>21</v>
      </c>
      <c r="C24" s="26">
        <f>SUMIF(tbEMP[ID KARY.],C5,tbEMP[THR])</f>
        <v>2250000</v>
      </c>
      <c r="D24" s="53"/>
      <c r="E24" s="24"/>
      <c r="H24" s="25" t="s">
        <v>21</v>
      </c>
      <c r="I24" s="26">
        <f>SUMIF(tbEMP[ID KARY.],I5,tbEMP[THR])</f>
        <v>0</v>
      </c>
      <c r="J24" s="53"/>
      <c r="K24" s="24"/>
    </row>
    <row r="25" spans="2:12" x14ac:dyDescent="0.25">
      <c r="B25" s="25" t="s">
        <v>59</v>
      </c>
      <c r="C25" s="26">
        <f>SUMIF(tbEMP[ID KARY.],C5,tbEMP[TIDAK RUTIN LAINNYA])</f>
        <v>0</v>
      </c>
      <c r="D25" s="53"/>
      <c r="E25" s="24"/>
      <c r="H25" s="25" t="s">
        <v>59</v>
      </c>
      <c r="I25" s="26">
        <f>SUMIF(tbEMP[ID KARY.],I5,tbEMP[TIDAK RUTIN LAINNYA])</f>
        <v>0</v>
      </c>
      <c r="J25" s="53"/>
      <c r="K25" s="24"/>
    </row>
    <row r="26" spans="2:12" x14ac:dyDescent="0.25">
      <c r="B26" s="33" t="s">
        <v>19</v>
      </c>
      <c r="C26" s="36"/>
      <c r="D26" s="53"/>
      <c r="E26" s="35">
        <f>SUM(C22:C25)</f>
        <v>2250000</v>
      </c>
      <c r="H26" s="33" t="s">
        <v>19</v>
      </c>
      <c r="I26" s="36"/>
      <c r="J26" s="53"/>
      <c r="K26" s="35">
        <f>SUM(I22:I25)</f>
        <v>350000</v>
      </c>
    </row>
    <row r="27" spans="2:12" ht="6" customHeight="1" x14ac:dyDescent="0.25">
      <c r="B27" s="23"/>
      <c r="C27" s="24"/>
      <c r="D27" s="24"/>
      <c r="E27" s="27"/>
      <c r="H27" s="23"/>
      <c r="I27" s="24"/>
      <c r="J27" s="24"/>
      <c r="K27" s="27"/>
    </row>
    <row r="28" spans="2:12" ht="15.75" thickBot="1" x14ac:dyDescent="0.3">
      <c r="B28" s="37" t="s">
        <v>88</v>
      </c>
      <c r="C28" s="38"/>
      <c r="D28" s="38"/>
      <c r="E28" s="39"/>
      <c r="F28" s="40">
        <f>SUM(E8:E26)</f>
        <v>7250000</v>
      </c>
      <c r="H28" s="37" t="s">
        <v>88</v>
      </c>
      <c r="I28" s="38"/>
      <c r="J28" s="38"/>
      <c r="K28" s="39"/>
      <c r="L28" s="40">
        <f>SUM(K8:K26)</f>
        <v>8740000</v>
      </c>
    </row>
    <row r="29" spans="2:12" ht="4.5" customHeight="1" x14ac:dyDescent="0.25"/>
    <row r="30" spans="2:12" x14ac:dyDescent="0.25">
      <c r="B30" s="29" t="s">
        <v>65</v>
      </c>
      <c r="C30" s="30"/>
      <c r="D30" s="30"/>
      <c r="E30" s="30"/>
      <c r="F30" s="30"/>
      <c r="H30" s="29" t="s">
        <v>65</v>
      </c>
      <c r="I30" s="30"/>
      <c r="J30" s="30"/>
      <c r="K30" s="30"/>
      <c r="L30" s="30"/>
    </row>
    <row r="31" spans="2:12" x14ac:dyDescent="0.25">
      <c r="B31" s="31" t="s">
        <v>66</v>
      </c>
      <c r="C31" s="32">
        <f>SUMIF(tbEMP[ID KARY.],C5,tbEMP[POT. BPJS])</f>
        <v>0</v>
      </c>
      <c r="D31" s="53"/>
      <c r="E31" s="30"/>
      <c r="F31" s="30"/>
      <c r="H31" s="31" t="s">
        <v>66</v>
      </c>
      <c r="I31" s="32">
        <f>SUMIF(tbEMP[ID KARY.],I5,tbEMP[POT. BPJS])</f>
        <v>0</v>
      </c>
      <c r="J31" s="53"/>
      <c r="K31" s="30"/>
      <c r="L31" s="30"/>
    </row>
    <row r="32" spans="2:12" x14ac:dyDescent="0.25">
      <c r="B32" s="31" t="s">
        <v>67</v>
      </c>
      <c r="C32" s="32">
        <f>SUMIF(tbEMP[ID KARY.],C5,tbEMP[POT. JKK])</f>
        <v>0</v>
      </c>
      <c r="D32" s="53"/>
      <c r="E32" s="30"/>
      <c r="F32" s="30"/>
      <c r="H32" s="31" t="s">
        <v>67</v>
      </c>
      <c r="I32" s="32">
        <f>SUMIF(tbEMP[ID KARY.],I5,tbEMP[POT. JKK])</f>
        <v>0</v>
      </c>
      <c r="J32" s="53"/>
      <c r="K32" s="30"/>
      <c r="L32" s="30"/>
    </row>
    <row r="33" spans="2:12" x14ac:dyDescent="0.25">
      <c r="B33" s="31" t="s">
        <v>68</v>
      </c>
      <c r="C33" s="32">
        <f>SUMIF(tbEMP[ID KARY.],C5,tbEMP[POT. JKM])</f>
        <v>0</v>
      </c>
      <c r="D33" s="53"/>
      <c r="E33" s="30"/>
      <c r="F33" s="30"/>
      <c r="H33" s="31" t="s">
        <v>68</v>
      </c>
      <c r="I33" s="32">
        <f>SUMIF(tbEMP[ID KARY.],I5,tbEMP[POT. JKM])</f>
        <v>0</v>
      </c>
      <c r="J33" s="53"/>
      <c r="K33" s="30"/>
      <c r="L33" s="30"/>
    </row>
    <row r="34" spans="2:12" x14ac:dyDescent="0.25">
      <c r="B34" s="31" t="s">
        <v>69</v>
      </c>
      <c r="C34" s="32">
        <f>SUMIF(tbEMP[ID KARY.],C5,tbEMP[POT. JHT])</f>
        <v>0</v>
      </c>
      <c r="D34" s="53"/>
      <c r="E34" s="30"/>
      <c r="F34" s="30"/>
      <c r="H34" s="31" t="s">
        <v>69</v>
      </c>
      <c r="I34" s="32">
        <f>SUMIF(tbEMP[ID KARY.],I5,tbEMP[POT. JHT])</f>
        <v>0</v>
      </c>
      <c r="J34" s="53"/>
      <c r="K34" s="30"/>
      <c r="L34" s="30"/>
    </row>
    <row r="35" spans="2:12" x14ac:dyDescent="0.25">
      <c r="B35" s="31" t="s">
        <v>70</v>
      </c>
      <c r="C35" s="32">
        <f>SUMIF(tbEMP[ID KARY.],C5,tbEMP[POT. JP])</f>
        <v>0</v>
      </c>
      <c r="D35" s="53"/>
      <c r="E35" s="30"/>
      <c r="F35" s="30"/>
      <c r="H35" s="31" t="s">
        <v>70</v>
      </c>
      <c r="I35" s="32">
        <f>SUMIF(tbEMP[ID KARY.],I5,tbEMP[POT. JP])</f>
        <v>0</v>
      </c>
      <c r="J35" s="53"/>
      <c r="K35" s="30"/>
      <c r="L35" s="30"/>
    </row>
    <row r="36" spans="2:12" x14ac:dyDescent="0.25">
      <c r="B36" s="31" t="s">
        <v>71</v>
      </c>
      <c r="C36" s="32">
        <f>SUMIF(tbEMP[ID KARY.],C5,tbEMP[POT. IURAN LAINNYA])</f>
        <v>0</v>
      </c>
      <c r="D36" s="53"/>
      <c r="E36" s="30"/>
      <c r="F36" s="30"/>
      <c r="H36" s="31" t="s">
        <v>71</v>
      </c>
      <c r="I36" s="32">
        <f>SUMIF(tbEMP[ID KARY.],I5,tbEMP[POT. IURAN LAINNYA])</f>
        <v>0</v>
      </c>
      <c r="J36" s="53"/>
      <c r="K36" s="30"/>
      <c r="L36" s="30"/>
    </row>
    <row r="37" spans="2:12" x14ac:dyDescent="0.25">
      <c r="B37" s="41" t="s">
        <v>85</v>
      </c>
      <c r="C37" s="42"/>
      <c r="D37" s="43">
        <f>SUM(C31:C36)</f>
        <v>0</v>
      </c>
      <c r="E37" s="30"/>
      <c r="F37" s="30"/>
      <c r="H37" s="41" t="s">
        <v>85</v>
      </c>
      <c r="I37" s="42"/>
      <c r="J37" s="43">
        <f>SUM(I31:I36)</f>
        <v>0</v>
      </c>
      <c r="K37" s="30"/>
      <c r="L37" s="30"/>
    </row>
    <row r="38" spans="2:12" ht="43.5" customHeight="1" x14ac:dyDescent="0.25">
      <c r="B38" s="56" t="s">
        <v>96</v>
      </c>
      <c r="C38" s="57"/>
      <c r="D38" s="58">
        <f>SUMIF(tbEMP[ID KARY.],C5,tbEMP[POTONGAN LAIN])</f>
        <v>0</v>
      </c>
      <c r="E38" s="106" t="str">
        <f>IF(VLOOKUP(C5,tbEMP[],39,FALSE)=0,"",VLOOKUP(C5,tbEMP[],40,FALSE))</f>
        <v/>
      </c>
      <c r="F38" s="106"/>
      <c r="H38" s="56" t="s">
        <v>96</v>
      </c>
      <c r="I38" s="57"/>
      <c r="J38" s="58">
        <f>SUMIF(tbEMP[ID KARY.],I5,tbEMP[POTONGAN LAIN])</f>
        <v>250000</v>
      </c>
      <c r="K38" s="106" t="str">
        <f>IF(VLOOKUP(I5,tbEMP[],39,FALSE)=0,"",VLOOKUP(I5,tbEMP[],40,FALSE))</f>
        <v>Potongan atas pinjaman di kantor (2 kali untuk bayar angsuran motor dan biaya anak sekolah) - NRPK - 2222</v>
      </c>
      <c r="L38" s="106"/>
    </row>
    <row r="39" spans="2:12" x14ac:dyDescent="0.25">
      <c r="B39" s="44" t="s">
        <v>86</v>
      </c>
      <c r="C39" s="45"/>
      <c r="D39" s="46">
        <f>SUMIF(tbEMP[ID KARY.],C5,tbEMP[PPH 21])</f>
        <v>0</v>
      </c>
      <c r="E39" s="30"/>
      <c r="F39" s="30"/>
      <c r="H39" s="44" t="s">
        <v>86</v>
      </c>
      <c r="I39" s="45"/>
      <c r="J39" s="46">
        <f>SUMIF(tbEMP[ID KARY.],I5,tbEMP[PPH 21])</f>
        <v>0</v>
      </c>
      <c r="K39" s="30"/>
      <c r="L39" s="30"/>
    </row>
    <row r="40" spans="2:12" ht="15.75" thickBot="1" x14ac:dyDescent="0.3">
      <c r="B40" s="47" t="s">
        <v>87</v>
      </c>
      <c r="C40" s="47"/>
      <c r="D40" s="47"/>
      <c r="E40" s="48"/>
      <c r="F40" s="49">
        <f>SUM(D37:D39)</f>
        <v>0</v>
      </c>
      <c r="H40" s="47" t="s">
        <v>87</v>
      </c>
      <c r="I40" s="47"/>
      <c r="J40" s="47"/>
      <c r="K40" s="48"/>
      <c r="L40" s="49">
        <f>SUM(J37:J39)</f>
        <v>250000</v>
      </c>
    </row>
    <row r="41" spans="2:12" ht="5.25" customHeight="1" x14ac:dyDescent="0.25"/>
    <row r="42" spans="2:12" ht="15.75" thickBot="1" x14ac:dyDescent="0.3">
      <c r="B42" s="50" t="s">
        <v>73</v>
      </c>
      <c r="C42" s="51"/>
      <c r="D42" s="51"/>
      <c r="E42" s="51"/>
      <c r="F42" s="52">
        <f>F28-F40</f>
        <v>7250000</v>
      </c>
      <c r="H42" s="50" t="s">
        <v>73</v>
      </c>
      <c r="I42" s="51"/>
      <c r="J42" s="51"/>
      <c r="K42" s="51"/>
      <c r="L42" s="52">
        <f>L28-L40</f>
        <v>8490000</v>
      </c>
    </row>
  </sheetData>
  <mergeCells count="8">
    <mergeCell ref="B2:F2"/>
    <mergeCell ref="B3:F3"/>
    <mergeCell ref="B4:F4"/>
    <mergeCell ref="E38:F38"/>
    <mergeCell ref="H2:L2"/>
    <mergeCell ref="H3:L3"/>
    <mergeCell ref="H4:L4"/>
    <mergeCell ref="K38:L38"/>
  </mergeCells>
  <dataValidations count="1">
    <dataValidation type="list" allowBlank="1" showInputMessage="1" showErrorMessage="1" sqref="C5 I5">
      <formula1>empID</formula1>
    </dataValidation>
  </dataValidations>
  <pageMargins left="0.25" right="0.2" top="0.1" bottom="0" header="0.3" footer="0.3"/>
  <pageSetup paperSize="9" scale="8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1B6E77"/>
  </sheetPr>
  <dimension ref="A1:M22"/>
  <sheetViews>
    <sheetView showGridLines="0" zoomScale="90" zoomScaleNormal="90" workbookViewId="0">
      <selection activeCell="C5" sqref="C5"/>
    </sheetView>
  </sheetViews>
  <sheetFormatPr defaultColWidth="0" defaultRowHeight="15" x14ac:dyDescent="0.25"/>
  <cols>
    <col min="1" max="1" width="0.5" customWidth="1"/>
    <col min="2" max="2" width="27.125" customWidth="1"/>
    <col min="3" max="5" width="13" customWidth="1"/>
    <col min="6" max="6" width="14.125" customWidth="1"/>
    <col min="7" max="7" width="1.625" customWidth="1"/>
    <col min="8" max="8" width="27.125" customWidth="1"/>
    <col min="9" max="11" width="13" customWidth="1"/>
    <col min="12" max="12" width="14.125" customWidth="1"/>
    <col min="13" max="13" width="0.75" customWidth="1"/>
    <col min="14" max="16384" width="9" hidden="1"/>
  </cols>
  <sheetData>
    <row r="1" spans="2:12" ht="2.25" customHeight="1" x14ac:dyDescent="0.25"/>
    <row r="2" spans="2:12" ht="18.75" x14ac:dyDescent="0.3">
      <c r="B2" s="104" t="str">
        <f>infoCompanyName</f>
        <v>SimAcc2 - Employee Salary</v>
      </c>
      <c r="C2" s="104"/>
      <c r="D2" s="104"/>
      <c r="E2" s="104"/>
      <c r="F2" s="104"/>
      <c r="H2" s="104" t="str">
        <f>infoCompanyName</f>
        <v>SimAcc2 - Employee Salary</v>
      </c>
      <c r="I2" s="104"/>
      <c r="J2" s="104"/>
      <c r="K2" s="104"/>
      <c r="L2" s="104"/>
    </row>
    <row r="3" spans="2:12" ht="18.75" x14ac:dyDescent="0.3">
      <c r="B3" s="104" t="s">
        <v>115</v>
      </c>
      <c r="C3" s="104"/>
      <c r="D3" s="104"/>
      <c r="E3" s="104"/>
      <c r="F3" s="104"/>
      <c r="H3" s="104" t="s">
        <v>115</v>
      </c>
      <c r="I3" s="104"/>
      <c r="J3" s="104"/>
      <c r="K3" s="104"/>
      <c r="L3" s="104"/>
    </row>
    <row r="4" spans="2:12" ht="15.75" x14ac:dyDescent="0.25">
      <c r="B4" s="105" t="str">
        <f ca="1">"Period "&amp;TEXT(infoPeriod,"d mmm yyyy")</f>
        <v>Period 14 Nov 2020</v>
      </c>
      <c r="C4" s="105"/>
      <c r="D4" s="105"/>
      <c r="E4" s="105"/>
      <c r="F4" s="105"/>
      <c r="H4" s="105" t="str">
        <f ca="1">"Period "&amp;TEXT(infoPeriod,"d mmm yyyy")</f>
        <v>Period 14 Nov 2020</v>
      </c>
      <c r="I4" s="105"/>
      <c r="J4" s="105"/>
      <c r="K4" s="105"/>
      <c r="L4" s="105"/>
    </row>
    <row r="5" spans="2:12" x14ac:dyDescent="0.25">
      <c r="B5" t="s">
        <v>90</v>
      </c>
      <c r="C5" t="s">
        <v>18</v>
      </c>
      <c r="H5" t="s">
        <v>90</v>
      </c>
      <c r="I5" t="s">
        <v>82</v>
      </c>
    </row>
    <row r="6" spans="2:12" x14ac:dyDescent="0.25">
      <c r="B6" t="s">
        <v>91</v>
      </c>
      <c r="C6" t="e">
        <f>VLOOKUP(C5,tbTAX[],2,FALSE)</f>
        <v>#N/A</v>
      </c>
      <c r="H6" t="s">
        <v>91</v>
      </c>
      <c r="I6" t="e">
        <f>VLOOKUP($I$5,tbTAX[],2,FALSE)</f>
        <v>#N/A</v>
      </c>
    </row>
    <row r="7" spans="2:12" ht="4.5" customHeight="1" x14ac:dyDescent="0.25"/>
    <row r="8" spans="2:12" x14ac:dyDescent="0.25">
      <c r="B8" s="33" t="s">
        <v>50</v>
      </c>
      <c r="C8" s="33"/>
      <c r="D8" s="34">
        <f>SUMIF(tbTAX[ID KARY.],$C$5,tbTAX[GAJI BRUTO (tax)])</f>
        <v>0</v>
      </c>
      <c r="E8" s="24"/>
      <c r="H8" s="33" t="s">
        <v>50</v>
      </c>
      <c r="I8" s="33"/>
      <c r="J8" s="34">
        <f>SUMIF(tbTAX[ID KARY.],$I$5,tbTAX[GAJI BRUTO (tax)])</f>
        <v>0</v>
      </c>
      <c r="K8" s="24"/>
    </row>
    <row r="9" spans="2:12" x14ac:dyDescent="0.25">
      <c r="B9" s="31" t="str">
        <f>"Biaya Jabatan ("&amp;TEXT(VAR!$K$13,"0%") &amp; ")"</f>
        <v>Biaya Jabatan (5%)</v>
      </c>
      <c r="C9" s="32">
        <f>SUMIF(tbTAX[ID KARY.],$C$5,tbTAX[BIAYA JABATAN])</f>
        <v>0</v>
      </c>
      <c r="D9" s="76"/>
      <c r="E9" s="24"/>
      <c r="H9" s="31" t="str">
        <f>"Biaya Jabatan ("&amp;TEXT(VAR!$K$13,"0%") &amp; ")"</f>
        <v>Biaya Jabatan (5%)</v>
      </c>
      <c r="I9" s="32">
        <f>SUMIF(tbTAX[ID KARY.],$I$5,tbTAX[BIAYA JABATAN])</f>
        <v>0</v>
      </c>
      <c r="J9" s="76"/>
      <c r="K9" s="24"/>
    </row>
    <row r="10" spans="2:12" x14ac:dyDescent="0.25">
      <c r="B10" s="31" t="str">
        <f>"Biaya Pensiun ("&amp;TEXT(VAR!$K$14,"0%") &amp; ")"</f>
        <v>Biaya Pensiun (5%)</v>
      </c>
      <c r="C10" s="32">
        <f>SUMIF(tbTAX[ID KARY.],$C$5,tbTAX[BIAYA PENSIUN])</f>
        <v>0</v>
      </c>
      <c r="D10" s="76"/>
      <c r="E10" s="24"/>
      <c r="H10" s="31" t="str">
        <f>"Biaya Pensiun ("&amp;TEXT(VAR!$K$14,"0%") &amp; ")"</f>
        <v>Biaya Pensiun (5%)</v>
      </c>
      <c r="I10" s="32">
        <f>SUMIF(tbTAX[ID KARY.],$I$5,tbTAX[BIAYA PENSIUN])</f>
        <v>0</v>
      </c>
      <c r="J10" s="76"/>
      <c r="K10" s="24"/>
    </row>
    <row r="11" spans="2:12" x14ac:dyDescent="0.25">
      <c r="B11" s="31" t="s">
        <v>141</v>
      </c>
      <c r="C11" s="32">
        <f>SUMIF(tbTAX[ID KARY.],$C$5,tbTAX[IURAN DI BYR KARYAWAN])</f>
        <v>0</v>
      </c>
      <c r="D11" s="76"/>
      <c r="E11" s="24"/>
      <c r="H11" s="31" t="s">
        <v>141</v>
      </c>
      <c r="I11" s="32">
        <f>SUMIF(tbTAX[ID KARY.],$I$5,tbTAX[IURAN DI BYR KARYAWAN])</f>
        <v>0</v>
      </c>
      <c r="J11" s="76"/>
      <c r="K11" s="24"/>
    </row>
    <row r="12" spans="2:12" x14ac:dyDescent="0.25">
      <c r="B12" s="41" t="s">
        <v>87</v>
      </c>
      <c r="C12" s="41"/>
      <c r="D12" s="43">
        <f>SUM(C9:C11)</f>
        <v>0</v>
      </c>
      <c r="E12" s="24"/>
      <c r="H12" s="41" t="s">
        <v>87</v>
      </c>
      <c r="I12" s="41"/>
      <c r="J12" s="43">
        <f>SUM(I9:I11)</f>
        <v>0</v>
      </c>
      <c r="K12" s="24"/>
    </row>
    <row r="13" spans="2:12" x14ac:dyDescent="0.25">
      <c r="B13" s="33" t="s">
        <v>142</v>
      </c>
      <c r="C13" s="36"/>
      <c r="D13" s="36"/>
      <c r="E13" s="35">
        <f>D8-D12</f>
        <v>0</v>
      </c>
      <c r="H13" s="33" t="s">
        <v>142</v>
      </c>
      <c r="I13" s="36"/>
      <c r="J13" s="36"/>
      <c r="K13" s="35">
        <f>J8-J12</f>
        <v>0</v>
      </c>
    </row>
    <row r="14" spans="2:12" x14ac:dyDescent="0.25">
      <c r="B14" s="77" t="s">
        <v>143</v>
      </c>
      <c r="C14" s="78"/>
      <c r="D14" s="78"/>
      <c r="E14" s="79">
        <f>E13*12</f>
        <v>0</v>
      </c>
      <c r="H14" s="77" t="s">
        <v>143</v>
      </c>
      <c r="I14" s="78"/>
      <c r="J14" s="78"/>
      <c r="K14" s="79">
        <f>K13*12</f>
        <v>0</v>
      </c>
    </row>
    <row r="15" spans="2:12" x14ac:dyDescent="0.25">
      <c r="B15" s="77" t="str">
        <f>"Penghasilan Tidak Kena Pajak (PTKP) - "&amp;VLOOKUP($C$5,tbEMP[[ID KARY.]:[STATUS]],7,FALSE)</f>
        <v>Penghasilan Tidak Kena Pajak (PTKP) - TK</v>
      </c>
      <c r="C15" s="78"/>
      <c r="D15" s="78"/>
      <c r="E15" s="79">
        <f>SUMIF(tbTAX[ID KARY.],$C$5,tbTAX[PTKP])</f>
        <v>0</v>
      </c>
      <c r="H15" s="77" t="str">
        <f>"Penghasilan Tidak Kena Pajak (PTKP) - "&amp;VLOOKUP($I$5,tbEMP[[ID KARY.]:[STATUS]],7,FALSE)</f>
        <v>Penghasilan Tidak Kena Pajak (PTKP) - K1</v>
      </c>
      <c r="I15" s="78"/>
      <c r="J15" s="78"/>
      <c r="K15" s="79">
        <f>SUMIF(tbTAX[ID KARY.],$I$5,tbTAX[PTKP])</f>
        <v>0</v>
      </c>
    </row>
    <row r="16" spans="2:12" ht="15.75" thickBot="1" x14ac:dyDescent="0.3">
      <c r="B16" s="47" t="s">
        <v>144</v>
      </c>
      <c r="C16" s="47"/>
      <c r="D16" s="47"/>
      <c r="E16" s="48"/>
      <c r="F16" s="49">
        <f>E14-E15</f>
        <v>0</v>
      </c>
      <c r="H16" s="47" t="s">
        <v>144</v>
      </c>
      <c r="I16" s="47"/>
      <c r="J16" s="47"/>
      <c r="K16" s="48"/>
      <c r="L16" s="49">
        <f>K14-K15</f>
        <v>0</v>
      </c>
    </row>
    <row r="17" spans="2:12" ht="15.75" thickBot="1" x14ac:dyDescent="0.3">
      <c r="B17" s="47" t="s">
        <v>145</v>
      </c>
      <c r="C17" s="47"/>
      <c r="D17" s="47"/>
      <c r="E17" s="48"/>
      <c r="F17" s="49">
        <f>INT(F16/1000)*1000</f>
        <v>0</v>
      </c>
      <c r="H17" s="47" t="s">
        <v>145</v>
      </c>
      <c r="I17" s="47"/>
      <c r="J17" s="47"/>
      <c r="K17" s="48"/>
      <c r="L17" s="49">
        <f>INT(L16/1000)*1000</f>
        <v>0</v>
      </c>
    </row>
    <row r="18" spans="2:12" ht="15.75" thickBot="1" x14ac:dyDescent="0.3">
      <c r="B18" s="50" t="s">
        <v>146</v>
      </c>
      <c r="C18" s="51"/>
      <c r="D18" s="51"/>
      <c r="E18" s="51"/>
      <c r="F18" s="52">
        <f>PPH(F17)</f>
        <v>0</v>
      </c>
      <c r="H18" s="50" t="s">
        <v>146</v>
      </c>
      <c r="I18" s="51"/>
      <c r="J18" s="51"/>
      <c r="K18" s="51"/>
      <c r="L18" s="52">
        <f>PPH(L17)</f>
        <v>0</v>
      </c>
    </row>
    <row r="19" spans="2:12" ht="15.75" thickBot="1" x14ac:dyDescent="0.3">
      <c r="B19" s="47" t="s">
        <v>147</v>
      </c>
      <c r="C19" s="47"/>
      <c r="D19" s="47"/>
      <c r="E19" s="48"/>
      <c r="F19" s="49">
        <f>SUMIF(tbTAX[ID KARY.],$C$5,tbTAX[Penalty NPWP])</f>
        <v>0</v>
      </c>
      <c r="H19" s="47" t="s">
        <v>147</v>
      </c>
      <c r="I19" s="47"/>
      <c r="J19" s="47"/>
      <c r="K19" s="48"/>
      <c r="L19" s="49">
        <f>SUMIF(tbTAX[ID KARY.],$I$5,tbTAX[Penalty NPWP])</f>
        <v>0</v>
      </c>
    </row>
    <row r="20" spans="2:12" ht="4.5" customHeight="1" x14ac:dyDescent="0.25">
      <c r="B20" s="25"/>
      <c r="C20" s="26"/>
      <c r="D20" s="53"/>
      <c r="E20" s="24"/>
      <c r="H20" s="25"/>
      <c r="I20" s="26"/>
      <c r="J20" s="53"/>
      <c r="K20" s="24"/>
    </row>
    <row r="21" spans="2:12" ht="15.75" thickBot="1" x14ac:dyDescent="0.3">
      <c r="B21" s="47" t="s">
        <v>148</v>
      </c>
      <c r="C21" s="47"/>
      <c r="D21" s="47"/>
      <c r="E21" s="48"/>
      <c r="F21" s="49">
        <f>F18-F19</f>
        <v>0</v>
      </c>
      <c r="H21" s="47" t="s">
        <v>148</v>
      </c>
      <c r="I21" s="47"/>
      <c r="J21" s="47"/>
      <c r="K21" s="48"/>
      <c r="L21" s="49">
        <f>L18-L19</f>
        <v>0</v>
      </c>
    </row>
    <row r="22" spans="2:12" ht="15.75" thickBot="1" x14ac:dyDescent="0.3">
      <c r="B22" s="47" t="str">
        <f ca="1">UPPER("PPH21 TERUTANG BULAN "&amp;TEXT(infoPeriod,"MMMM YYYY"))</f>
        <v>PPH21 TERUTANG BULAN NOVEMBER 2020</v>
      </c>
      <c r="C22" s="47"/>
      <c r="D22" s="47"/>
      <c r="E22" s="48"/>
      <c r="F22" s="80">
        <f>F21/12</f>
        <v>0</v>
      </c>
      <c r="H22" s="47" t="str">
        <f ca="1">UPPER("PPH21 TERUTANG BULAN "&amp;TEXT(infoPeriod,"MMMM YYYY"))</f>
        <v>PPH21 TERUTANG BULAN NOVEMBER 2020</v>
      </c>
      <c r="I22" s="47"/>
      <c r="J22" s="47"/>
      <c r="K22" s="48"/>
      <c r="L22" s="80">
        <f>L21/12</f>
        <v>0</v>
      </c>
    </row>
  </sheetData>
  <mergeCells count="6">
    <mergeCell ref="H2:L2"/>
    <mergeCell ref="H3:L3"/>
    <mergeCell ref="H4:L4"/>
    <mergeCell ref="B2:F2"/>
    <mergeCell ref="B3:F3"/>
    <mergeCell ref="B4:F4"/>
  </mergeCells>
  <dataValidations count="1">
    <dataValidation type="list" allowBlank="1" showInputMessage="1" showErrorMessage="1" sqref="C5 I5">
      <formula1>empID</formula1>
    </dataValidation>
  </dataValidations>
  <pageMargins left="0.45" right="0.2" top="0.75" bottom="0.5" header="0.05" footer="0.05"/>
  <pageSetup paperSize="5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INFO</vt:lpstr>
      <vt:lpstr>EMP</vt:lpstr>
      <vt:lpstr>TAX</vt:lpstr>
      <vt:lpstr>BANK</vt:lpstr>
      <vt:lpstr>VAR</vt:lpstr>
      <vt:lpstr>SLIP</vt:lpstr>
      <vt:lpstr>TAXSLIP</vt:lpstr>
      <vt:lpstr>empID</vt:lpstr>
      <vt:lpstr>infoCompAddr</vt:lpstr>
      <vt:lpstr>infoCompanyName</vt:lpstr>
      <vt:lpstr>infoPeriod</vt:lpstr>
      <vt:lpstr>infoStaffName</vt:lpstr>
      <vt:lpstr>infoStaffPos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Cheries</dc:creator>
  <cp:lastModifiedBy>Cheries</cp:lastModifiedBy>
  <cp:lastPrinted>2020-11-08T06:05:04Z</cp:lastPrinted>
  <dcterms:created xsi:type="dcterms:W3CDTF">2018-08-06T08:13:14Z</dcterms:created>
  <dcterms:modified xsi:type="dcterms:W3CDTF">2020-11-13T17:35:20Z</dcterms:modified>
</cp:coreProperties>
</file>